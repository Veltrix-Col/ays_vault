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segurosays.sharepoint.com/sites/ClientePJuridica/Documentos compartidos/General/ESTUDIO DE MODA SAS_NIT_8909268031/83_VG Voluntario/2026/4_Otros/"/>
    </mc:Choice>
  </mc:AlternateContent>
  <xr:revisionPtr revIDLastSave="9" documentId="8_{4487C83D-49D9-437D-8D79-7F9572E85726}" xr6:coauthVersionLast="47" xr6:coauthVersionMax="47" xr10:uidLastSave="{6B487783-E95C-41D8-9654-35D3FB038F10}"/>
  <bookViews>
    <workbookView xWindow="-110" yWindow="-110" windowWidth="19420" windowHeight="10300" xr2:uid="{00000000-000D-0000-FFFF-FFFF00000000}"/>
  </bookViews>
  <sheets>
    <sheet name="FORMATO" sheetId="1" r:id="rId1"/>
  </sheets>
  <externalReferences>
    <externalReference r:id="rId2"/>
    <externalReference r:id="rId3"/>
    <externalReference r:id="rId4"/>
  </externalReferences>
  <definedNames>
    <definedName name="AjusteTrimestral">#REF!</definedName>
    <definedName name="Ajustrisin">#REF!</definedName>
    <definedName name="AmparoBasico">'[1]tabla de mortalidad'!$B$2:$CY$73</definedName>
    <definedName name="AmparosAnexos">[2]Amparos!$B$7:$BF$18</definedName>
    <definedName name="AmparosAseg">#REF!</definedName>
    <definedName name="AmpAutoDias">#REF!</definedName>
    <definedName name="AmpAutoEdad">#REF!</definedName>
    <definedName name="AmpAutoValor">#REF!</definedName>
    <definedName name="ArticuloTom">#REF!</definedName>
    <definedName name="Blanket">#REF!</definedName>
    <definedName name="BlanketAjuste">#REF!</definedName>
    <definedName name="ColumnasAA">#REF!</definedName>
    <definedName name="ColumnasAB">'[1]tabla de mortalidad'!$B$2:$CY$2</definedName>
    <definedName name="ColumnasRC">#REF!</definedName>
    <definedName name="Comision">#REF!</definedName>
    <definedName name="Continuidad">#REF!</definedName>
    <definedName name="Convertibilidad">[3]Parámetros!IU1</definedName>
    <definedName name="DecInexRet">#REF!</definedName>
    <definedName name="Deducibles">#REF!</definedName>
    <definedName name="diasRC">#REF!</definedName>
    <definedName name="EdadMaxAB">#REF!</definedName>
    <definedName name="EdadMaxID">#REF!</definedName>
    <definedName name="EdadMaxOA">#REF!</definedName>
    <definedName name="EdadMinAB">#REF!</definedName>
    <definedName name="EdadPerAB">#REF!</definedName>
    <definedName name="EdadPerID">#REF!</definedName>
    <definedName name="EdadPerOA">#REF!</definedName>
    <definedName name="EdadProm">#REF!</definedName>
    <definedName name="FilasAA">#REF!</definedName>
    <definedName name="FilasAB">'[1]tabla de mortalidad'!$B$2:$B$73</definedName>
    <definedName name="FilasRC">#REF!</definedName>
    <definedName name="FormaPago">#REF!</definedName>
    <definedName name="GRUPOASEGNODEUD">#REF!</definedName>
    <definedName name="GrupoAsegurado">#REF!</definedName>
    <definedName name="imprimir">#REF!</definedName>
    <definedName name="Irreductibilidad">#REF!</definedName>
    <definedName name="LISTAmparoBasico">#REF!</definedName>
    <definedName name="LISTAmparosAnexos">#REF!</definedName>
    <definedName name="Nit">#REF!</definedName>
    <definedName name="NumAseg">'[1]PyG 1'!$C$2</definedName>
    <definedName name="NumAsegurados">#REF!</definedName>
    <definedName name="OPERACION">#REF!</definedName>
    <definedName name="PinCausa">#REF!</definedName>
    <definedName name="PlazoPago">#REF!</definedName>
    <definedName name="PlazoSiniestro">#REF!</definedName>
    <definedName name="PorRGA">#REF!</definedName>
    <definedName name="PU">#REF!</definedName>
    <definedName name="PUText">#REF!</definedName>
    <definedName name="RentaClinica">#REF!</definedName>
    <definedName name="ReqAseg">#REF!</definedName>
    <definedName name="RevocarNum">#REF!</definedName>
    <definedName name="RGA">#REF!</definedName>
    <definedName name="SinUltimaVig">#REF!</definedName>
    <definedName name="TipoNegocio">#REF!</definedName>
    <definedName name="TipoPago">#REF!</definedName>
    <definedName name="TipoVG">[2]Parámetros!$O$2</definedName>
    <definedName name="Tomador">#REF!</definedName>
    <definedName name="TotalSiniestralidad">#REF!</definedName>
    <definedName name="VABasico">#REF!</definedName>
    <definedName name="VAIndividual">#REF!</definedName>
    <definedName name="VAProm">#REF!</definedName>
    <definedName name="VigenciaSeguro">#REF!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9" i="1" l="1"/>
  <c r="B4" i="1" l="1"/>
  <c r="C81" i="1" l="1"/>
  <c r="C80" i="1"/>
  <c r="C79" i="1"/>
  <c r="C77" i="1"/>
  <c r="C76" i="1"/>
  <c r="C40" i="1"/>
  <c r="C39" i="1"/>
  <c r="C38" i="1"/>
  <c r="C34" i="1"/>
  <c r="C21" i="1"/>
  <c r="C18" i="1"/>
  <c r="C5" i="1"/>
</calcChain>
</file>

<file path=xl/sharedStrings.xml><?xml version="1.0" encoding="utf-8"?>
<sst xmlns="http://schemas.openxmlformats.org/spreadsheetml/2006/main" count="126" uniqueCount="102">
  <si>
    <t>Si</t>
  </si>
  <si>
    <t>Cotización</t>
  </si>
  <si>
    <t>No Contributiva</t>
  </si>
  <si>
    <t>Contratada</t>
  </si>
  <si>
    <t>Saldo insoluto de la deuda</t>
  </si>
  <si>
    <t>No</t>
  </si>
  <si>
    <t>Renovación</t>
  </si>
  <si>
    <t>Contributiva</t>
  </si>
  <si>
    <t>No contratada</t>
  </si>
  <si>
    <t>Saldo inicial de la deuda</t>
  </si>
  <si>
    <t>Condiciones póliza de Vida Grupo y AP</t>
  </si>
  <si>
    <t>Próroga</t>
  </si>
  <si>
    <t>Deudores</t>
  </si>
  <si>
    <t>Salarios del asegurado</t>
  </si>
  <si>
    <t>FECHA DILIGENCIAMIENTO PRESENTE FORMATO (DD-MM-AA)</t>
  </si>
  <si>
    <t>Salarios mínimos mensuales legales vigentes (SMMLV)</t>
  </si>
  <si>
    <t>Procedimiento</t>
  </si>
  <si>
    <t>Fijo</t>
  </si>
  <si>
    <t>Clase de póliza</t>
  </si>
  <si>
    <t>Mixto</t>
  </si>
  <si>
    <t>Declarado por el tomador</t>
  </si>
  <si>
    <t>DATOS IDENTIFICATIVOS TOMADOR</t>
  </si>
  <si>
    <t>Nombre tomador</t>
  </si>
  <si>
    <r>
      <t xml:space="preserve">Identificacion del tomador </t>
    </r>
    <r>
      <rPr>
        <b/>
        <sz val="9"/>
        <color rgb="FFFF0000"/>
        <rFont val="Arial"/>
        <family val="2"/>
      </rPr>
      <t>(digitar con digito de verificacion sin puntos ni separadores )</t>
    </r>
  </si>
  <si>
    <t>Actividad económica del tomador</t>
  </si>
  <si>
    <t>Ubicación geografica tomador ((Ciudad (des) 0 Departamento(s) o Municipio (s))</t>
  </si>
  <si>
    <t>ANTIOQUIA</t>
  </si>
  <si>
    <t>DATOS ASEGURADOS</t>
  </si>
  <si>
    <t>Ocupacion de las personas a asegurar</t>
  </si>
  <si>
    <t>EMPLEADOS</t>
  </si>
  <si>
    <t>Caracteristica del grupo</t>
  </si>
  <si>
    <t>Grupo asegurado incluye familiares</t>
  </si>
  <si>
    <t>Ubicación geografica de las personas a asegurar (Departamento(s) o Municipio (s))</t>
  </si>
  <si>
    <t>Número de personas a asegurar</t>
  </si>
  <si>
    <t>Edad promedio</t>
  </si>
  <si>
    <t>Edad máxima</t>
  </si>
  <si>
    <t>INICIO VIGENCIA PÓLIZA (DD-MM-AA)</t>
  </si>
  <si>
    <t>FIN VIGENCIA PÓLIZA (DD-MM-AA)</t>
  </si>
  <si>
    <t>DATOS INTERMEDIARIO</t>
  </si>
  <si>
    <t>Nombre intermediario</t>
  </si>
  <si>
    <t>Clave</t>
  </si>
  <si>
    <t>Sucursal</t>
  </si>
  <si>
    <t>% de participacion</t>
  </si>
  <si>
    <t>Comisión propuesta</t>
  </si>
  <si>
    <t xml:space="preserve">VALORES ASEGURADOS </t>
  </si>
  <si>
    <t>Regla de suma asegurada</t>
  </si>
  <si>
    <r>
      <t xml:space="preserve">Maximo valor asegurado individual </t>
    </r>
    <r>
      <rPr>
        <b/>
        <sz val="9"/>
        <color rgb="FFFF0000"/>
        <rFont val="Arial"/>
        <family val="2"/>
      </rPr>
      <t>(Digitar valor entero sin puntos ni comas)</t>
    </r>
  </si>
  <si>
    <r>
      <t>Valor asegurado total</t>
    </r>
    <r>
      <rPr>
        <b/>
        <sz val="9"/>
        <color rgb="FFFF0000"/>
        <rFont val="Arial"/>
        <family val="2"/>
      </rPr>
      <t xml:space="preserve"> (Digitar valor entero sin puntos ni comas)</t>
    </r>
  </si>
  <si>
    <r>
      <t xml:space="preserve">Si el valor asegurado es fijo informar las opciones a continuación  </t>
    </r>
    <r>
      <rPr>
        <b/>
        <sz val="9"/>
        <color rgb="FFFF0000"/>
        <rFont val="Arial"/>
        <family val="2"/>
      </rPr>
      <t>(Digitar valor entero sin puntos ni comas):</t>
    </r>
  </si>
  <si>
    <t>Opcion1</t>
  </si>
  <si>
    <t>Opcion2</t>
  </si>
  <si>
    <t>Opcion3</t>
  </si>
  <si>
    <t>Opcion4</t>
  </si>
  <si>
    <t>Opcion5</t>
  </si>
  <si>
    <t>Opcion6</t>
  </si>
  <si>
    <t>Opcion7</t>
  </si>
  <si>
    <t>Opcion8</t>
  </si>
  <si>
    <t>Opcion9</t>
  </si>
  <si>
    <t>Opcion10</t>
  </si>
  <si>
    <t>Tasa Propuesta</t>
  </si>
  <si>
    <t>Amparos a contratar para vida grupo</t>
  </si>
  <si>
    <t>MUERTE POR CUALQUIER CAUSA</t>
  </si>
  <si>
    <t>INCAPACIDAD TOTAL Y PERMANENTE</t>
  </si>
  <si>
    <t xml:space="preserve">INDEMNIZACION ADICIONAL POR MUERTE ACCIDENTAL </t>
  </si>
  <si>
    <t>DESMEMBRACIÓN ACCIDENTAL</t>
  </si>
  <si>
    <t>ENFERMEDADES GRAVES COMO ANTICIPO</t>
  </si>
  <si>
    <t>AUXILIO FUNERARIO</t>
  </si>
  <si>
    <t>AUXILIO CANASTA FAMILIAR POR MUERTE</t>
  </si>
  <si>
    <t>AUXILIO CANASTA FAMILIAR POR ITP</t>
  </si>
  <si>
    <t xml:space="preserve">RENTA CLÍNICA DIARIA POR ENFERMEDAD O ACCIDENTE  </t>
  </si>
  <si>
    <t>Amparos a contratar para accidentes personales</t>
  </si>
  <si>
    <t>MUERTE ACCIDENTAL</t>
  </si>
  <si>
    <t>INVALIDEZ O DESMEMBRACIÓN ACCIDENTAL</t>
  </si>
  <si>
    <t>GASTOS MÉDICOS POR ACCIDENTE</t>
  </si>
  <si>
    <t>AUXILIO FUNERARIO POR MUERTE ACCIDENTAL</t>
  </si>
  <si>
    <t>AUXILIO CANASTA FAMILIAR POR MUERTE ACCIDENTAL</t>
  </si>
  <si>
    <t xml:space="preserve">RENTA CLÍNICA DIARIA POR ACCIDENTE  </t>
  </si>
  <si>
    <t>Condiciones Particulares de Cotización</t>
  </si>
  <si>
    <t>Continuidad</t>
  </si>
  <si>
    <t>Compañía de seguros actual</t>
  </si>
  <si>
    <t>Pago de la prima</t>
  </si>
  <si>
    <t>Mensual Vencido</t>
  </si>
  <si>
    <t>Retribución por gestion administrativa</t>
  </si>
  <si>
    <t>% de Retribucion por gestion administrativa</t>
  </si>
  <si>
    <t>Código Sponsor</t>
  </si>
  <si>
    <t>Compañían intervinientes y participacion</t>
  </si>
  <si>
    <t>N/A</t>
  </si>
  <si>
    <t>SINIESTRALIDAD ÚLTIMAS VIGENCIAS</t>
  </si>
  <si>
    <t>VIGENCIAS</t>
  </si>
  <si>
    <t>VALOR</t>
  </si>
  <si>
    <t>CASOS</t>
  </si>
  <si>
    <t>* En caso de tener  detalle favor adjuntarlo</t>
  </si>
  <si>
    <t>OBSERVACIONES Y RECOMENDACIONES DEL DIRECTOR COMERCIAL</t>
  </si>
  <si>
    <t>MEDELLIN 3</t>
  </si>
  <si>
    <t xml:space="preserve">A&amp;S ASESORES DE SEGUROS LTDA </t>
  </si>
  <si>
    <t>SURA</t>
  </si>
  <si>
    <t>NO</t>
  </si>
  <si>
    <t>Estudio de Moda S.A.S</t>
  </si>
  <si>
    <t>4771 -Comercio al por menor de prendas de vestir y sus accesorios (incluye artículos de piel) en establecimientos especializados</t>
  </si>
  <si>
    <t>Renta por hospitalizacion y cirugía</t>
  </si>
  <si>
    <t>Renta diaria por incapacidad y Renta por hospitalizacion y cirugía</t>
  </si>
  <si>
    <t>Favor cotizar seguro de vida grupo con las coberturas y planes de contratadas según este archivo.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</si>
</sst>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240A]d&quot; de &quot;mmmm&quot; de &quot;yyyy;@"/>
    <numFmt numFmtId="165" formatCode="_ * #,##0.00_ ;_ * \-#,##0.00_ ;_ * &quot;-&quot;??_ ;_ @_ "/>
    <numFmt numFmtId="166" formatCode="_ &quot;$&quot;\ * #,##0.00_ ;_ &quot;$&quot;\ * \-#,##0.00_ ;_ &quot;$&quot;\ * &quot;-&quot;??_ ;_ @_ "/>
    <numFmt numFmtId="167" formatCode="_ &quot;$&quot;\ * #,##0_ ;_ &quot;$&quot;\ * \-#,##0_ ;_ &quot;$&quot;\ * &quot;-&quot;??_ ;_ @_ "/>
    <numFmt numFmtId="168" formatCode="[$$-240A]\ #,##0"/>
  </numFmts>
  <fonts count="17" x14ac:knownFonts="1">
    <font>
      <sz val="11"/>
      <color theme="1"/>
      <name val="Calibri"/>
      <family val="2"/>
      <scheme val="minor"/>
    </font>
    <font>
      <sz val="11"/>
      <color theme="0"/>
      <name val="Calibri"/>
      <family val="2"/>
      <scheme val="minor"/>
    </font>
    <font>
      <sz val="10"/>
      <name val="Arial"/>
      <family val="2"/>
    </font>
    <font>
      <b/>
      <sz val="10"/>
      <color theme="1"/>
      <name val="Arial"/>
      <family val="2"/>
    </font>
    <font>
      <sz val="10"/>
      <color theme="0"/>
      <name val="Arial"/>
      <family val="2"/>
    </font>
    <font>
      <b/>
      <sz val="12"/>
      <color theme="3"/>
      <name val="Arial"/>
      <family val="2"/>
    </font>
    <font>
      <b/>
      <sz val="16"/>
      <color theme="3"/>
      <name val="Arial"/>
      <family val="2"/>
    </font>
    <font>
      <sz val="9"/>
      <color theme="1"/>
      <name val="Arial"/>
      <family val="2"/>
    </font>
    <font>
      <sz val="9"/>
      <name val="Arial"/>
      <family val="2"/>
    </font>
    <font>
      <b/>
      <sz val="9"/>
      <name val="Arial"/>
      <family val="2"/>
    </font>
    <font>
      <b/>
      <sz val="8"/>
      <color theme="1"/>
      <name val="Arial"/>
      <family val="2"/>
    </font>
    <font>
      <b/>
      <sz val="9"/>
      <color theme="3"/>
      <name val="Arial"/>
      <family val="2"/>
    </font>
    <font>
      <b/>
      <sz val="9"/>
      <color rgb="FFFF0000"/>
      <name val="Arial"/>
      <family val="2"/>
    </font>
    <font>
      <b/>
      <sz val="8"/>
      <color theme="0"/>
      <name val="Arial"/>
      <family val="2"/>
    </font>
    <font>
      <b/>
      <sz val="11"/>
      <color rgb="FF17365D"/>
      <name val="Arial"/>
      <family val="2"/>
    </font>
    <font>
      <sz val="8"/>
      <color theme="1"/>
      <name val="Arial"/>
      <family val="2"/>
    </font>
    <font>
      <sz val="8"/>
      <name val="Arial"/>
      <family val="2"/>
    </font>
  </fonts>
  <fills count="6">
    <fill>
      <patternFill patternType="none"/>
    </fill>
    <fill>
      <patternFill patternType="gray125"/>
    </fill>
    <fill>
      <patternFill patternType="solid">
        <fgColor theme="4" tint="0.7999816888943144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0" tint="-0.249977111117893"/>
        <bgColor indexed="64"/>
      </patternFill>
    </fill>
  </fills>
  <borders count="15">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medium">
        <color indexed="64"/>
      </left>
      <right style="thin">
        <color theme="0"/>
      </right>
      <top style="thin">
        <color theme="0"/>
      </top>
      <bottom/>
      <diagonal/>
    </border>
    <border>
      <left style="medium">
        <color indexed="64"/>
      </left>
      <right/>
      <top style="thin">
        <color theme="0"/>
      </top>
      <bottom style="thin">
        <color theme="0"/>
      </bottom>
      <diagonal/>
    </border>
    <border>
      <left/>
      <right style="thin">
        <color theme="0"/>
      </right>
      <top style="thin">
        <color theme="0"/>
      </top>
      <bottom style="thin">
        <color theme="0"/>
      </bottom>
      <diagonal/>
    </border>
    <border>
      <left style="thin">
        <color theme="0"/>
      </left>
      <right/>
      <top style="thin">
        <color theme="0"/>
      </top>
      <bottom style="thin">
        <color theme="0"/>
      </bottom>
      <diagonal/>
    </border>
    <border>
      <left/>
      <right style="medium">
        <color indexed="64"/>
      </right>
      <top style="thin">
        <color theme="0"/>
      </top>
      <bottom style="thin">
        <color theme="0"/>
      </bottom>
      <diagonal/>
    </border>
    <border>
      <left style="thin">
        <color theme="0"/>
      </left>
      <right style="medium">
        <color indexed="64"/>
      </right>
      <top style="thin">
        <color theme="0"/>
      </top>
      <bottom style="thin">
        <color theme="0"/>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165" fontId="2" fillId="0" borderId="0" applyFont="0" applyFill="0" applyBorder="0" applyAlignment="0" applyProtection="0"/>
    <xf numFmtId="9" fontId="2" fillId="0" borderId="0" applyFont="0" applyFill="0" applyBorder="0" applyAlignment="0" applyProtection="0"/>
    <xf numFmtId="166" fontId="2" fillId="0" borderId="0" applyFont="0" applyFill="0" applyBorder="0" applyAlignment="0" applyProtection="0"/>
  </cellStyleXfs>
  <cellXfs count="71">
    <xf numFmtId="0" fontId="0" fillId="0" borderId="0" xfId="0"/>
    <xf numFmtId="0" fontId="3" fillId="0" borderId="0" xfId="1" applyFont="1" applyAlignment="1">
      <alignment horizontal="center"/>
    </xf>
    <xf numFmtId="0" fontId="4" fillId="0" borderId="0" xfId="1" applyFont="1"/>
    <xf numFmtId="0" fontId="1" fillId="0" borderId="0" xfId="1" applyFont="1"/>
    <xf numFmtId="0" fontId="2" fillId="0" borderId="0" xfId="1"/>
    <xf numFmtId="0" fontId="5" fillId="0" borderId="0" xfId="1" applyFont="1" applyAlignment="1">
      <alignment horizontal="center"/>
    </xf>
    <xf numFmtId="0" fontId="6" fillId="0" borderId="0" xfId="1" applyFont="1" applyAlignment="1">
      <alignment horizontal="center"/>
    </xf>
    <xf numFmtId="0" fontId="7" fillId="2" borderId="6" xfId="1" applyFont="1" applyFill="1" applyBorder="1" applyAlignment="1" applyProtection="1">
      <alignment horizontal="left" vertical="center"/>
      <protection hidden="1"/>
    </xf>
    <xf numFmtId="0" fontId="3" fillId="0" borderId="5" xfId="1" applyFont="1" applyBorder="1" applyProtection="1">
      <protection hidden="1"/>
    </xf>
    <xf numFmtId="0" fontId="10" fillId="0" borderId="5" xfId="1" applyFont="1" applyBorder="1" applyAlignment="1" applyProtection="1">
      <alignment horizontal="center" vertical="center" wrapText="1"/>
      <protection hidden="1"/>
    </xf>
    <xf numFmtId="0" fontId="3" fillId="0" borderId="0" xfId="1" applyFont="1" applyAlignment="1" applyProtection="1">
      <alignment horizontal="center"/>
      <protection hidden="1"/>
    </xf>
    <xf numFmtId="0" fontId="7" fillId="0" borderId="6" xfId="1" applyFont="1" applyBorder="1" applyAlignment="1" applyProtection="1">
      <alignment horizontal="left" vertical="center"/>
      <protection hidden="1"/>
    </xf>
    <xf numFmtId="0" fontId="11" fillId="0" borderId="7" xfId="1" applyFont="1" applyBorder="1" applyAlignment="1" applyProtection="1">
      <alignment horizontal="left" vertical="center"/>
      <protection locked="0" hidden="1"/>
    </xf>
    <xf numFmtId="0" fontId="11" fillId="0" borderId="6" xfId="1" applyFont="1" applyBorder="1" applyAlignment="1" applyProtection="1">
      <alignment horizontal="left" vertical="center"/>
      <protection hidden="1"/>
    </xf>
    <xf numFmtId="0" fontId="7" fillId="2" borderId="6" xfId="1" applyFont="1" applyFill="1" applyBorder="1" applyAlignment="1" applyProtection="1">
      <alignment horizontal="left" vertical="center" wrapText="1"/>
      <protection hidden="1"/>
    </xf>
    <xf numFmtId="0" fontId="3" fillId="0" borderId="4" xfId="1" applyFont="1" applyBorder="1" applyAlignment="1" applyProtection="1">
      <alignment horizontal="center"/>
      <protection hidden="1"/>
    </xf>
    <xf numFmtId="0" fontId="7" fillId="0" borderId="0" xfId="1" applyFont="1" applyAlignment="1" applyProtection="1">
      <alignment vertical="center" wrapText="1"/>
      <protection locked="0"/>
    </xf>
    <xf numFmtId="0" fontId="13" fillId="0" borderId="5" xfId="1" applyFont="1" applyBorder="1" applyAlignment="1" applyProtection="1">
      <alignment vertical="center" wrapText="1"/>
      <protection hidden="1"/>
    </xf>
    <xf numFmtId="0" fontId="7" fillId="2" borderId="6" xfId="1" applyFont="1" applyFill="1" applyBorder="1" applyAlignment="1" applyProtection="1">
      <alignment vertical="center" wrapText="1"/>
      <protection hidden="1"/>
    </xf>
    <xf numFmtId="0" fontId="7" fillId="2" borderId="8" xfId="1" applyFont="1" applyFill="1" applyBorder="1" applyAlignment="1" applyProtection="1">
      <alignment horizontal="left" vertical="center"/>
      <protection hidden="1"/>
    </xf>
    <xf numFmtId="0" fontId="14" fillId="0" borderId="4" xfId="1" applyFont="1" applyBorder="1" applyProtection="1">
      <protection hidden="1"/>
    </xf>
    <xf numFmtId="0" fontId="7" fillId="2" borderId="9" xfId="1" applyFont="1" applyFill="1" applyBorder="1" applyAlignment="1" applyProtection="1">
      <alignment vertical="center"/>
      <protection hidden="1"/>
    </xf>
    <xf numFmtId="0" fontId="7" fillId="2" borderId="10" xfId="1" applyFont="1" applyFill="1" applyBorder="1" applyAlignment="1" applyProtection="1">
      <alignment vertical="center"/>
      <protection locked="0" hidden="1"/>
    </xf>
    <xf numFmtId="0" fontId="15" fillId="0" borderId="12" xfId="1" applyFont="1" applyBorder="1" applyAlignment="1" applyProtection="1">
      <alignment vertical="center" wrapText="1"/>
      <protection hidden="1"/>
    </xf>
    <xf numFmtId="0" fontId="3" fillId="0" borderId="0" xfId="1" applyFont="1" applyAlignment="1" applyProtection="1">
      <alignment horizontal="center"/>
      <protection locked="0" hidden="1"/>
    </xf>
    <xf numFmtId="0" fontId="2" fillId="0" borderId="4" xfId="1" applyBorder="1" applyProtection="1">
      <protection hidden="1"/>
    </xf>
    <xf numFmtId="0" fontId="2" fillId="4" borderId="4" xfId="1" applyFill="1" applyBorder="1" applyProtection="1">
      <protection hidden="1"/>
    </xf>
    <xf numFmtId="0" fontId="7" fillId="0" borderId="0" xfId="1" applyFont="1" applyAlignment="1" applyProtection="1">
      <alignment horizontal="center" vertical="center" wrapText="1"/>
      <protection locked="0"/>
    </xf>
    <xf numFmtId="0" fontId="7" fillId="0" borderId="0" xfId="1" applyFont="1" applyAlignment="1">
      <alignment horizontal="center"/>
    </xf>
    <xf numFmtId="0" fontId="7" fillId="5" borderId="4" xfId="1" applyFont="1" applyFill="1" applyBorder="1" applyAlignment="1" applyProtection="1">
      <alignment horizontal="center"/>
      <protection locked="0" hidden="1"/>
    </xf>
    <xf numFmtId="0" fontId="7" fillId="5" borderId="0" xfId="1" applyFont="1" applyFill="1" applyAlignment="1" applyProtection="1">
      <alignment horizontal="center"/>
      <protection locked="0" hidden="1"/>
    </xf>
    <xf numFmtId="0" fontId="15" fillId="5" borderId="5" xfId="1" applyFont="1" applyFill="1" applyBorder="1" applyAlignment="1" applyProtection="1">
      <alignment horizontal="center" vertical="center" wrapText="1"/>
      <protection locked="0" hidden="1"/>
    </xf>
    <xf numFmtId="0" fontId="7" fillId="0" borderId="4" xfId="1" applyFont="1" applyBorder="1" applyProtection="1">
      <protection locked="0" hidden="1"/>
    </xf>
    <xf numFmtId="0" fontId="7" fillId="0" borderId="0" xfId="1" applyFont="1" applyProtection="1">
      <protection locked="0" hidden="1"/>
    </xf>
    <xf numFmtId="0" fontId="15" fillId="0" borderId="5" xfId="1" applyFont="1" applyBorder="1" applyAlignment="1" applyProtection="1">
      <alignment vertical="center" wrapText="1"/>
      <protection locked="0" hidden="1"/>
    </xf>
    <xf numFmtId="0" fontId="7" fillId="0" borderId="0" xfId="1" applyFont="1"/>
    <xf numFmtId="0" fontId="2" fillId="0" borderId="4" xfId="1" applyBorder="1" applyProtection="1">
      <protection locked="0" hidden="1"/>
    </xf>
    <xf numFmtId="0" fontId="2" fillId="0" borderId="0" xfId="1" applyProtection="1">
      <protection locked="0" hidden="1"/>
    </xf>
    <xf numFmtId="0" fontId="16" fillId="0" borderId="5" xfId="1" applyFont="1" applyBorder="1" applyAlignment="1" applyProtection="1">
      <alignment vertical="center" wrapText="1"/>
      <protection locked="0" hidden="1"/>
    </xf>
    <xf numFmtId="0" fontId="11" fillId="0" borderId="8" xfId="1" applyFont="1" applyBorder="1" applyAlignment="1" applyProtection="1">
      <alignment horizontal="left" vertical="center"/>
      <protection locked="0" hidden="1"/>
    </xf>
    <xf numFmtId="0" fontId="7" fillId="0" borderId="5" xfId="1" applyFont="1" applyBorder="1" applyProtection="1">
      <protection locked="0" hidden="1"/>
    </xf>
    <xf numFmtId="0" fontId="7" fillId="0" borderId="0" xfId="1" applyFont="1" applyAlignment="1">
      <alignment horizontal="justify" vertical="center" wrapText="1"/>
    </xf>
    <xf numFmtId="0" fontId="2" fillId="0" borderId="0" xfId="1" applyProtection="1">
      <protection hidden="1"/>
    </xf>
    <xf numFmtId="0" fontId="16" fillId="0" borderId="0" xfId="1" applyFont="1" applyAlignment="1" applyProtection="1">
      <alignment vertical="center" wrapText="1"/>
      <protection hidden="1"/>
    </xf>
    <xf numFmtId="0" fontId="8" fillId="3" borderId="7" xfId="1" applyFont="1" applyFill="1" applyBorder="1" applyAlignment="1" applyProtection="1">
      <alignment vertical="center" wrapText="1"/>
      <protection locked="0"/>
    </xf>
    <xf numFmtId="164" fontId="8" fillId="3" borderId="7" xfId="1" applyNumberFormat="1" applyFont="1" applyFill="1" applyBorder="1" applyAlignment="1" applyProtection="1">
      <alignment vertical="center" wrapText="1"/>
      <protection locked="0"/>
    </xf>
    <xf numFmtId="0" fontId="9" fillId="3" borderId="7" xfId="1" applyFont="1" applyFill="1" applyBorder="1" applyAlignment="1" applyProtection="1">
      <alignment horizontal="center" vertical="center" wrapText="1"/>
      <protection locked="0"/>
    </xf>
    <xf numFmtId="1" fontId="8" fillId="3" borderId="7" xfId="2" applyNumberFormat="1" applyFont="1" applyFill="1" applyBorder="1" applyAlignment="1" applyProtection="1">
      <alignment vertical="center" wrapText="1"/>
      <protection locked="0"/>
    </xf>
    <xf numFmtId="9" fontId="8" fillId="3" borderId="7" xfId="1" applyNumberFormat="1" applyFont="1" applyFill="1" applyBorder="1" applyAlignment="1" applyProtection="1">
      <alignment vertical="center" wrapText="1"/>
      <protection locked="0"/>
    </xf>
    <xf numFmtId="9" fontId="8" fillId="3" borderId="7" xfId="3" applyFont="1" applyFill="1" applyBorder="1" applyAlignment="1" applyProtection="1">
      <alignment vertical="center" wrapText="1"/>
      <protection locked="0"/>
    </xf>
    <xf numFmtId="0" fontId="7" fillId="3" borderId="7" xfId="1" applyFont="1" applyFill="1" applyBorder="1" applyAlignment="1" applyProtection="1">
      <alignment vertical="center" wrapText="1"/>
      <protection locked="0"/>
    </xf>
    <xf numFmtId="167" fontId="7" fillId="3" borderId="7" xfId="4" applyNumberFormat="1" applyFont="1" applyFill="1" applyBorder="1" applyAlignment="1" applyProtection="1">
      <alignment vertical="center" wrapText="1"/>
      <protection locked="0"/>
    </xf>
    <xf numFmtId="167" fontId="3" fillId="0" borderId="0" xfId="4" applyNumberFormat="1" applyFont="1" applyBorder="1" applyAlignment="1" applyProtection="1">
      <alignment horizontal="center"/>
      <protection locked="0"/>
    </xf>
    <xf numFmtId="0" fontId="7" fillId="3" borderId="11" xfId="1" applyFont="1" applyFill="1" applyBorder="1" applyAlignment="1" applyProtection="1">
      <alignment vertical="center" wrapText="1"/>
      <protection locked="0"/>
    </xf>
    <xf numFmtId="0" fontId="3" fillId="0" borderId="0" xfId="1" applyFont="1" applyAlignment="1" applyProtection="1">
      <alignment horizontal="center"/>
      <protection locked="0"/>
    </xf>
    <xf numFmtId="0" fontId="7" fillId="2" borderId="14" xfId="1" applyFont="1" applyFill="1" applyBorder="1" applyAlignment="1" applyProtection="1">
      <alignment vertical="center" wrapText="1"/>
      <protection locked="0"/>
    </xf>
    <xf numFmtId="0" fontId="7" fillId="3" borderId="6" xfId="1" applyFont="1" applyFill="1" applyBorder="1" applyAlignment="1" applyProtection="1">
      <alignment vertical="center" wrapText="1"/>
      <protection locked="0"/>
    </xf>
    <xf numFmtId="168" fontId="7" fillId="3" borderId="7" xfId="1" applyNumberFormat="1" applyFont="1" applyFill="1" applyBorder="1" applyAlignment="1" applyProtection="1">
      <alignment vertical="center" wrapText="1"/>
      <protection locked="0"/>
    </xf>
    <xf numFmtId="0" fontId="15" fillId="3" borderId="13" xfId="1" applyFont="1" applyFill="1" applyBorder="1" applyAlignment="1" applyProtection="1">
      <alignment vertical="center" wrapText="1"/>
      <protection locked="0"/>
    </xf>
    <xf numFmtId="0" fontId="3" fillId="0" borderId="1" xfId="1" applyFont="1" applyBorder="1" applyAlignment="1" applyProtection="1">
      <alignment horizontal="center"/>
      <protection hidden="1"/>
    </xf>
    <xf numFmtId="0" fontId="3" fillId="0" borderId="2" xfId="1" applyFont="1" applyBorder="1" applyAlignment="1" applyProtection="1">
      <alignment horizontal="center"/>
      <protection hidden="1"/>
    </xf>
    <xf numFmtId="0" fontId="3" fillId="0" borderId="3" xfId="1" applyFont="1" applyBorder="1" applyAlignment="1" applyProtection="1">
      <alignment horizontal="center"/>
      <protection hidden="1"/>
    </xf>
    <xf numFmtId="0" fontId="5" fillId="0" borderId="4" xfId="1" applyFont="1" applyBorder="1" applyAlignment="1" applyProtection="1">
      <alignment horizontal="center"/>
      <protection hidden="1"/>
    </xf>
    <xf numFmtId="0" fontId="5" fillId="0" borderId="0" xfId="1" applyFont="1" applyAlignment="1" applyProtection="1">
      <alignment horizontal="center"/>
      <protection hidden="1"/>
    </xf>
    <xf numFmtId="0" fontId="5" fillId="0" borderId="5" xfId="1" applyFont="1" applyBorder="1" applyAlignment="1" applyProtection="1">
      <alignment horizontal="center"/>
      <protection hidden="1"/>
    </xf>
    <xf numFmtId="0" fontId="6" fillId="0" borderId="4" xfId="1" applyFont="1" applyBorder="1" applyAlignment="1" applyProtection="1">
      <alignment horizontal="center"/>
      <protection hidden="1"/>
    </xf>
    <xf numFmtId="0" fontId="6" fillId="0" borderId="0" xfId="1" applyFont="1" applyAlignment="1" applyProtection="1">
      <alignment horizontal="center"/>
      <protection hidden="1"/>
    </xf>
    <xf numFmtId="0" fontId="6" fillId="0" borderId="5" xfId="1" applyFont="1" applyBorder="1" applyAlignment="1" applyProtection="1">
      <alignment horizontal="center"/>
      <protection hidden="1"/>
    </xf>
    <xf numFmtId="0" fontId="7" fillId="0" borderId="4" xfId="1" applyFont="1" applyBorder="1" applyAlignment="1" applyProtection="1">
      <alignment horizontal="center"/>
      <protection hidden="1"/>
    </xf>
    <xf numFmtId="0" fontId="7" fillId="0" borderId="0" xfId="1" applyFont="1" applyAlignment="1" applyProtection="1">
      <alignment horizontal="center"/>
      <protection hidden="1"/>
    </xf>
    <xf numFmtId="0" fontId="7" fillId="0" borderId="5" xfId="1" applyFont="1" applyBorder="1" applyAlignment="1" applyProtection="1">
      <alignment horizontal="center"/>
      <protection hidden="1"/>
    </xf>
  </cellXfs>
  <cellStyles count="5">
    <cellStyle name="Millares 2" xfId="2" xr:uid="{00000000-0005-0000-0000-000000000000}"/>
    <cellStyle name="Moneda 2" xfId="4" xr:uid="{00000000-0005-0000-0000-000001000000}"/>
    <cellStyle name="Normal" xfId="0" builtinId="0"/>
    <cellStyle name="Normal 2" xfId="1" xr:uid="{00000000-0005-0000-0000-000003000000}"/>
    <cellStyle name="Porcentaje 2" xfId="3" xr:uid="{00000000-0005-0000-0000-000004000000}"/>
  </cellStyles>
  <dxfs count="14">
    <dxf>
      <fill>
        <patternFill>
          <bgColor rgb="FF00B0F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1" defaultTableStyle="TableStyleMedium2" defaultPivotStyle="PivotStyleLight16">
    <tableStyle name="Invisible" pivot="0" table="0" count="0" xr9:uid="{522318D6-5576-45E6-A0AA-46E8A5F8702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1571625</xdr:colOff>
      <xdr:row>0</xdr:row>
      <xdr:rowOff>9525</xdr:rowOff>
    </xdr:from>
    <xdr:to>
      <xdr:col>2</xdr:col>
      <xdr:colOff>830985</xdr:colOff>
      <xdr:row>2</xdr:row>
      <xdr:rowOff>1861</xdr:rowOff>
    </xdr:to>
    <xdr:pic>
      <xdr:nvPicPr>
        <xdr:cNvPr id="2" name="Picture 2">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5257800" y="9525"/>
          <a:ext cx="1342160" cy="377488"/>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Users/ce00352/Documents/COTIZADOR%20COMPLETO%20CON%20SLIP%20V16.xlsm" TargetMode="External"/><Relationship Id="rId1" Type="http://schemas.openxmlformats.org/officeDocument/2006/relationships/externalLinkPath" Target="/Users/ce00352/Documents/COTIZADOR%20COMPLETO%20CON%20SLIP%20V16.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alejo\Vida%20Grupo%20PASAR\BIBLIA\2017\CotizadorVidaG.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alejo\Vida%20Grupo%20PASAR\BIBLIA\2017\CotizadorVidaG2017V3.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FORMATO"/>
      <sheetName val="Base datos asegurados"/>
      <sheetName val="Parámetros"/>
      <sheetName val="PyG 1"/>
      <sheetName val="Edad máxima de permanencia"/>
      <sheetName val="tabla de mortalidad"/>
      <sheetName val="SLIP"/>
      <sheetName val="Hoja2"/>
    </sheetNames>
    <sheetDataSet>
      <sheetData sheetId="0"/>
      <sheetData sheetId="1"/>
      <sheetData sheetId="2"/>
      <sheetData sheetId="3"/>
      <sheetData sheetId="4"/>
      <sheetData sheetId="5">
        <row r="2">
          <cell r="B2" t="str">
            <v>AMPARO BÁSICO</v>
          </cell>
          <cell r="C2">
            <v>0</v>
          </cell>
          <cell r="D2">
            <v>1</v>
          </cell>
          <cell r="E2">
            <v>2</v>
          </cell>
          <cell r="F2">
            <v>3</v>
          </cell>
          <cell r="G2">
            <v>4</v>
          </cell>
          <cell r="H2">
            <v>5</v>
          </cell>
          <cell r="I2">
            <v>6</v>
          </cell>
          <cell r="J2">
            <v>7</v>
          </cell>
          <cell r="K2">
            <v>8</v>
          </cell>
          <cell r="L2">
            <v>9</v>
          </cell>
          <cell r="M2">
            <v>10</v>
          </cell>
          <cell r="N2">
            <v>11</v>
          </cell>
          <cell r="O2">
            <v>12</v>
          </cell>
          <cell r="P2">
            <v>13</v>
          </cell>
          <cell r="Q2">
            <v>14</v>
          </cell>
          <cell r="R2">
            <v>15</v>
          </cell>
          <cell r="S2">
            <v>16</v>
          </cell>
          <cell r="T2">
            <v>17</v>
          </cell>
          <cell r="U2">
            <v>18</v>
          </cell>
          <cell r="V2">
            <v>19</v>
          </cell>
          <cell r="W2">
            <v>20</v>
          </cell>
          <cell r="X2">
            <v>21</v>
          </cell>
          <cell r="Y2">
            <v>22</v>
          </cell>
          <cell r="Z2">
            <v>23</v>
          </cell>
          <cell r="AA2">
            <v>24</v>
          </cell>
          <cell r="AB2">
            <v>25</v>
          </cell>
          <cell r="AC2">
            <v>26</v>
          </cell>
          <cell r="AD2">
            <v>27</v>
          </cell>
          <cell r="AE2">
            <v>28</v>
          </cell>
          <cell r="AF2">
            <v>29</v>
          </cell>
          <cell r="AG2">
            <v>30</v>
          </cell>
          <cell r="AH2">
            <v>31</v>
          </cell>
          <cell r="AI2">
            <v>32</v>
          </cell>
          <cell r="AJ2">
            <v>33</v>
          </cell>
          <cell r="AK2">
            <v>34</v>
          </cell>
          <cell r="AL2">
            <v>35</v>
          </cell>
          <cell r="AM2">
            <v>36</v>
          </cell>
          <cell r="AN2">
            <v>37</v>
          </cell>
          <cell r="AO2">
            <v>38</v>
          </cell>
          <cell r="AP2">
            <v>39</v>
          </cell>
          <cell r="AQ2">
            <v>40</v>
          </cell>
          <cell r="AR2">
            <v>41</v>
          </cell>
          <cell r="AS2">
            <v>42</v>
          </cell>
          <cell r="AT2">
            <v>43</v>
          </cell>
          <cell r="AU2">
            <v>44</v>
          </cell>
          <cell r="AV2">
            <v>45</v>
          </cell>
          <cell r="AW2">
            <v>46</v>
          </cell>
          <cell r="AX2">
            <v>47</v>
          </cell>
          <cell r="AY2">
            <v>48</v>
          </cell>
          <cell r="AZ2">
            <v>49</v>
          </cell>
          <cell r="BA2">
            <v>50</v>
          </cell>
          <cell r="BB2">
            <v>51</v>
          </cell>
          <cell r="BC2">
            <v>52</v>
          </cell>
          <cell r="BD2">
            <v>53</v>
          </cell>
          <cell r="BE2">
            <v>54</v>
          </cell>
          <cell r="BF2">
            <v>55</v>
          </cell>
          <cell r="BG2">
            <v>56</v>
          </cell>
          <cell r="BH2">
            <v>57</v>
          </cell>
          <cell r="BI2">
            <v>58</v>
          </cell>
          <cell r="BJ2">
            <v>59</v>
          </cell>
          <cell r="BK2">
            <v>60</v>
          </cell>
          <cell r="BL2">
            <v>61</v>
          </cell>
          <cell r="BM2">
            <v>62</v>
          </cell>
          <cell r="BN2">
            <v>63</v>
          </cell>
          <cell r="BO2">
            <v>64</v>
          </cell>
          <cell r="BP2">
            <v>65</v>
          </cell>
          <cell r="BQ2">
            <v>66</v>
          </cell>
          <cell r="BR2">
            <v>67</v>
          </cell>
          <cell r="BS2">
            <v>68</v>
          </cell>
          <cell r="BT2">
            <v>69</v>
          </cell>
          <cell r="BU2">
            <v>70</v>
          </cell>
          <cell r="BV2">
            <v>71</v>
          </cell>
          <cell r="BW2">
            <v>72</v>
          </cell>
          <cell r="BX2">
            <v>73</v>
          </cell>
          <cell r="BY2">
            <v>74</v>
          </cell>
          <cell r="BZ2">
            <v>75</v>
          </cell>
          <cell r="CA2">
            <v>76</v>
          </cell>
          <cell r="CB2">
            <v>77</v>
          </cell>
          <cell r="CC2">
            <v>78</v>
          </cell>
          <cell r="CD2">
            <v>79</v>
          </cell>
          <cell r="CE2">
            <v>80</v>
          </cell>
          <cell r="CF2">
            <v>81</v>
          </cell>
          <cell r="CG2">
            <v>82</v>
          </cell>
          <cell r="CH2">
            <v>83</v>
          </cell>
          <cell r="CI2">
            <v>84</v>
          </cell>
          <cell r="CJ2">
            <v>85</v>
          </cell>
          <cell r="CK2">
            <v>86</v>
          </cell>
          <cell r="CL2">
            <v>87</v>
          </cell>
          <cell r="CM2">
            <v>88</v>
          </cell>
          <cell r="CN2">
            <v>89</v>
          </cell>
          <cell r="CO2">
            <v>90</v>
          </cell>
          <cell r="CP2">
            <v>91</v>
          </cell>
          <cell r="CQ2">
            <v>92</v>
          </cell>
          <cell r="CR2">
            <v>93</v>
          </cell>
          <cell r="CS2">
            <v>94</v>
          </cell>
          <cell r="CT2">
            <v>95</v>
          </cell>
          <cell r="CU2">
            <v>96</v>
          </cell>
          <cell r="CV2">
            <v>97</v>
          </cell>
          <cell r="CW2">
            <v>98</v>
          </cell>
          <cell r="CX2">
            <v>99</v>
          </cell>
          <cell r="CY2">
            <v>100</v>
          </cell>
        </row>
        <row r="3">
          <cell r="B3" t="str">
            <v>MUERTE ACCIDENTAL</v>
          </cell>
          <cell r="C3">
            <v>0.46200000000000008</v>
          </cell>
          <cell r="D3">
            <v>0.46200000000000008</v>
          </cell>
          <cell r="E3">
            <v>0.46200000000000008</v>
          </cell>
          <cell r="F3">
            <v>0.46200000000000008</v>
          </cell>
          <cell r="G3">
            <v>0.46200000000000008</v>
          </cell>
          <cell r="H3">
            <v>0.46200000000000008</v>
          </cell>
          <cell r="I3">
            <v>0.46200000000000008</v>
          </cell>
          <cell r="J3">
            <v>0.46200000000000008</v>
          </cell>
          <cell r="K3">
            <v>0.46200000000000008</v>
          </cell>
          <cell r="L3">
            <v>0.46200000000000008</v>
          </cell>
          <cell r="M3">
            <v>0.46200000000000008</v>
          </cell>
          <cell r="N3">
            <v>0.46200000000000008</v>
          </cell>
          <cell r="O3">
            <v>0.46200000000000008</v>
          </cell>
          <cell r="P3">
            <v>0.46200000000000008</v>
          </cell>
          <cell r="Q3">
            <v>0.46200000000000008</v>
          </cell>
          <cell r="R3">
            <v>0.46200000000000008</v>
          </cell>
          <cell r="S3">
            <v>0.46200000000000008</v>
          </cell>
          <cell r="T3">
            <v>0.46200000000000008</v>
          </cell>
          <cell r="U3">
            <v>0.46200000000000008</v>
          </cell>
          <cell r="V3">
            <v>0.46200000000000008</v>
          </cell>
          <cell r="W3">
            <v>0.46200000000000008</v>
          </cell>
          <cell r="X3">
            <v>0.46200000000000008</v>
          </cell>
          <cell r="Y3">
            <v>0.46200000000000008</v>
          </cell>
          <cell r="Z3">
            <v>0.46200000000000008</v>
          </cell>
          <cell r="AA3">
            <v>0.46200000000000008</v>
          </cell>
          <cell r="AB3">
            <v>0.46200000000000008</v>
          </cell>
          <cell r="AC3">
            <v>0.46200000000000008</v>
          </cell>
          <cell r="AD3">
            <v>0.46200000000000008</v>
          </cell>
          <cell r="AE3">
            <v>0.46200000000000008</v>
          </cell>
          <cell r="AF3">
            <v>0.46200000000000008</v>
          </cell>
          <cell r="AG3">
            <v>0.46200000000000008</v>
          </cell>
          <cell r="AH3">
            <v>0.46200000000000008</v>
          </cell>
          <cell r="AI3">
            <v>0.46200000000000008</v>
          </cell>
          <cell r="AJ3">
            <v>0.46200000000000008</v>
          </cell>
          <cell r="AK3">
            <v>0.46200000000000008</v>
          </cell>
          <cell r="AL3">
            <v>0.46200000000000008</v>
          </cell>
          <cell r="AM3">
            <v>0.46200000000000008</v>
          </cell>
          <cell r="AN3">
            <v>0.46200000000000008</v>
          </cell>
          <cell r="AO3">
            <v>0.46200000000000008</v>
          </cell>
          <cell r="AP3">
            <v>0.46200000000000008</v>
          </cell>
          <cell r="AQ3">
            <v>0.46200000000000008</v>
          </cell>
          <cell r="AR3">
            <v>0.46200000000000008</v>
          </cell>
          <cell r="AS3">
            <v>0.46200000000000008</v>
          </cell>
          <cell r="AT3">
            <v>0.46200000000000008</v>
          </cell>
          <cell r="AU3">
            <v>0.46200000000000008</v>
          </cell>
          <cell r="AV3">
            <v>0.46200000000000008</v>
          </cell>
          <cell r="AW3">
            <v>0.46200000000000008</v>
          </cell>
          <cell r="AX3">
            <v>0.46200000000000008</v>
          </cell>
          <cell r="AY3">
            <v>0.46200000000000008</v>
          </cell>
          <cell r="AZ3">
            <v>0.46200000000000008</v>
          </cell>
          <cell r="BA3">
            <v>0.46200000000000008</v>
          </cell>
          <cell r="BB3">
            <v>0.46200000000000008</v>
          </cell>
          <cell r="BC3">
            <v>0.46200000000000008</v>
          </cell>
          <cell r="BD3">
            <v>0.46200000000000008</v>
          </cell>
          <cell r="BE3">
            <v>0.46200000000000008</v>
          </cell>
          <cell r="BF3">
            <v>0.46200000000000008</v>
          </cell>
          <cell r="BG3">
            <v>0.46200000000000008</v>
          </cell>
          <cell r="BH3">
            <v>0.46200000000000008</v>
          </cell>
          <cell r="BI3">
            <v>0.46200000000000008</v>
          </cell>
          <cell r="BJ3">
            <v>0.46200000000000008</v>
          </cell>
          <cell r="BK3">
            <v>0.46200000000000008</v>
          </cell>
          <cell r="BL3">
            <v>0.46200000000000008</v>
          </cell>
          <cell r="BM3">
            <v>0.46200000000000008</v>
          </cell>
          <cell r="BN3">
            <v>0.46200000000000008</v>
          </cell>
          <cell r="BO3">
            <v>0.46200000000000008</v>
          </cell>
          <cell r="BP3">
            <v>0.46200000000000008</v>
          </cell>
          <cell r="BQ3">
            <v>0.46200000000000008</v>
          </cell>
          <cell r="BR3">
            <v>0.46200000000000008</v>
          </cell>
          <cell r="BS3">
            <v>0.46200000000000008</v>
          </cell>
          <cell r="BT3">
            <v>0.46200000000000008</v>
          </cell>
          <cell r="BU3">
            <v>0.46200000000000008</v>
          </cell>
        </row>
        <row r="4">
          <cell r="B4" t="str">
            <v>MUERTE ACCIDENTAL INCLUYE HOMICIDIO Y SUICIDIO</v>
          </cell>
          <cell r="C4">
            <v>0.97800000000000009</v>
          </cell>
          <cell r="D4">
            <v>0.97800000000000009</v>
          </cell>
          <cell r="E4">
            <v>0.97800000000000009</v>
          </cell>
          <cell r="F4">
            <v>0.97800000000000009</v>
          </cell>
          <cell r="G4">
            <v>0.97800000000000009</v>
          </cell>
          <cell r="H4">
            <v>0.97800000000000009</v>
          </cell>
          <cell r="I4">
            <v>0.97800000000000009</v>
          </cell>
          <cell r="J4">
            <v>0.97800000000000009</v>
          </cell>
          <cell r="K4">
            <v>0.97800000000000009</v>
          </cell>
          <cell r="L4">
            <v>0.97800000000000009</v>
          </cell>
          <cell r="M4">
            <v>0.97800000000000009</v>
          </cell>
          <cell r="N4">
            <v>0.97800000000000009</v>
          </cell>
          <cell r="O4">
            <v>0.97800000000000009</v>
          </cell>
          <cell r="P4">
            <v>0.97800000000000009</v>
          </cell>
          <cell r="Q4">
            <v>0.97800000000000009</v>
          </cell>
          <cell r="R4">
            <v>0.97800000000000009</v>
          </cell>
          <cell r="S4">
            <v>0.97800000000000009</v>
          </cell>
          <cell r="T4">
            <v>0.97800000000000009</v>
          </cell>
          <cell r="U4">
            <v>0.97800000000000009</v>
          </cell>
          <cell r="V4">
            <v>0.97800000000000009</v>
          </cell>
          <cell r="W4">
            <v>0.97800000000000009</v>
          </cell>
          <cell r="X4">
            <v>0.97800000000000009</v>
          </cell>
          <cell r="Y4">
            <v>0.97800000000000009</v>
          </cell>
          <cell r="Z4">
            <v>0.97800000000000009</v>
          </cell>
          <cell r="AA4">
            <v>0.97800000000000009</v>
          </cell>
          <cell r="AB4">
            <v>0.97800000000000009</v>
          </cell>
          <cell r="AC4">
            <v>0.97800000000000009</v>
          </cell>
          <cell r="AD4">
            <v>0.97800000000000009</v>
          </cell>
          <cell r="AE4">
            <v>0.97800000000000009</v>
          </cell>
          <cell r="AF4">
            <v>0.97800000000000009</v>
          </cell>
          <cell r="AG4">
            <v>0.97800000000000009</v>
          </cell>
          <cell r="AH4">
            <v>0.97800000000000009</v>
          </cell>
          <cell r="AI4">
            <v>0.97800000000000009</v>
          </cell>
          <cell r="AJ4">
            <v>0.97800000000000009</v>
          </cell>
          <cell r="AK4">
            <v>0.97800000000000009</v>
          </cell>
          <cell r="AL4">
            <v>0.97800000000000009</v>
          </cell>
          <cell r="AM4">
            <v>0.97800000000000009</v>
          </cell>
          <cell r="AN4">
            <v>0.97800000000000009</v>
          </cell>
          <cell r="AO4">
            <v>0.97800000000000009</v>
          </cell>
          <cell r="AP4">
            <v>0.97800000000000009</v>
          </cell>
          <cell r="AQ4">
            <v>0.97800000000000009</v>
          </cell>
          <cell r="AR4">
            <v>0.97800000000000009</v>
          </cell>
          <cell r="AS4">
            <v>0.97800000000000009</v>
          </cell>
          <cell r="AT4">
            <v>0.97800000000000009</v>
          </cell>
          <cell r="AU4">
            <v>0.97800000000000009</v>
          </cell>
          <cell r="AV4">
            <v>0.97800000000000009</v>
          </cell>
          <cell r="AW4">
            <v>0.97800000000000009</v>
          </cell>
          <cell r="AX4">
            <v>0.97800000000000009</v>
          </cell>
          <cell r="AY4">
            <v>0.97800000000000009</v>
          </cell>
          <cell r="AZ4">
            <v>0.97800000000000009</v>
          </cell>
          <cell r="BA4">
            <v>0.97800000000000009</v>
          </cell>
          <cell r="BB4">
            <v>0.97800000000000009</v>
          </cell>
          <cell r="BC4">
            <v>0.97800000000000009</v>
          </cell>
          <cell r="BD4">
            <v>0.97800000000000009</v>
          </cell>
          <cell r="BE4">
            <v>0.97800000000000009</v>
          </cell>
          <cell r="BF4">
            <v>0.97800000000000009</v>
          </cell>
          <cell r="BG4">
            <v>0.97800000000000009</v>
          </cell>
          <cell r="BH4">
            <v>0.97800000000000009</v>
          </cell>
          <cell r="BI4">
            <v>0.97800000000000009</v>
          </cell>
          <cell r="BJ4">
            <v>0.97800000000000009</v>
          </cell>
          <cell r="BK4">
            <v>0.97800000000000009</v>
          </cell>
          <cell r="BL4">
            <v>0.97800000000000009</v>
          </cell>
          <cell r="BM4">
            <v>0.97800000000000009</v>
          </cell>
          <cell r="BN4">
            <v>0.97800000000000009</v>
          </cell>
          <cell r="BO4">
            <v>0.97800000000000009</v>
          </cell>
          <cell r="BP4">
            <v>0.97800000000000009</v>
          </cell>
          <cell r="BQ4">
            <v>0.97800000000000009</v>
          </cell>
          <cell r="BR4">
            <v>0.97800000000000009</v>
          </cell>
          <cell r="BS4">
            <v>0.97800000000000009</v>
          </cell>
          <cell r="BT4">
            <v>0.97800000000000009</v>
          </cell>
          <cell r="BU4">
            <v>0.97800000000000009</v>
          </cell>
        </row>
        <row r="5">
          <cell r="B5" t="str">
            <v>MUERTE POR CUALQUIER CAUSA</v>
          </cell>
          <cell r="C5">
            <v>1.2149999999999916</v>
          </cell>
          <cell r="D5">
            <v>1.2149999999999916</v>
          </cell>
          <cell r="E5">
            <v>1.2149999999999916</v>
          </cell>
          <cell r="F5">
            <v>1.2149999999999916</v>
          </cell>
          <cell r="G5">
            <v>1.2149999999999916</v>
          </cell>
          <cell r="H5">
            <v>1.2149999999999916</v>
          </cell>
          <cell r="I5">
            <v>1.2149999999999916</v>
          </cell>
          <cell r="J5">
            <v>1.2149999999999916</v>
          </cell>
          <cell r="K5">
            <v>1.2149999999999916</v>
          </cell>
          <cell r="L5">
            <v>1.2149999999999916</v>
          </cell>
          <cell r="M5">
            <v>1.2149999999999916</v>
          </cell>
          <cell r="N5">
            <v>1.2149999999999916</v>
          </cell>
          <cell r="O5">
            <v>1.2149999999999916</v>
          </cell>
          <cell r="P5">
            <v>1.2149999999999916</v>
          </cell>
          <cell r="Q5">
            <v>1.2149999999999916</v>
          </cell>
          <cell r="R5">
            <v>1.2149999999999916</v>
          </cell>
          <cell r="S5">
            <v>1.2149999999999916</v>
          </cell>
          <cell r="T5">
            <v>1.2149999999999916</v>
          </cell>
          <cell r="U5">
            <v>1.2149999999999916</v>
          </cell>
          <cell r="V5">
            <v>1.2150000000000067</v>
          </cell>
          <cell r="W5">
            <v>1.2149999999999999</v>
          </cell>
          <cell r="X5">
            <v>1.2336336502838461</v>
          </cell>
          <cell r="Y5">
            <v>1.2549034008330024</v>
          </cell>
          <cell r="Z5">
            <v>1.2738115741835121</v>
          </cell>
          <cell r="AA5">
            <v>1.2928382088962076</v>
          </cell>
          <cell r="AB5">
            <v>1.3043825741274109</v>
          </cell>
          <cell r="AC5">
            <v>1.3210645434186523</v>
          </cell>
          <cell r="AD5">
            <v>1.3327592457605</v>
          </cell>
          <cell r="AE5">
            <v>1.3470467781465878</v>
          </cell>
          <cell r="AF5">
            <v>1.3588787626844279</v>
          </cell>
          <cell r="AG5">
            <v>1.3707201485706999</v>
          </cell>
          <cell r="AH5">
            <v>1.3852169338285834</v>
          </cell>
          <cell r="AI5">
            <v>1.399796244562665</v>
          </cell>
          <cell r="AJ5">
            <v>1.4143860535694039</v>
          </cell>
          <cell r="AK5">
            <v>1.4343148543258701</v>
          </cell>
          <cell r="AL5">
            <v>1.4517327641736244</v>
          </cell>
          <cell r="AM5">
            <v>1.4666019914772839</v>
          </cell>
          <cell r="AN5">
            <v>1.4842144897298675</v>
          </cell>
          <cell r="AO5">
            <v>1.5019388211688123</v>
          </cell>
          <cell r="AP5">
            <v>1.5223585878560546</v>
          </cell>
          <cell r="AQ5">
            <v>1.5481960946221853</v>
          </cell>
          <cell r="AR5">
            <v>1.5716302689600372</v>
          </cell>
          <cell r="AS5">
            <v>1.597838951884857</v>
          </cell>
          <cell r="AT5">
            <v>1.6112657606025871</v>
          </cell>
          <cell r="AU5">
            <v>1.6265509228813189</v>
          </cell>
          <cell r="AV5">
            <v>1.6375942332031035</v>
          </cell>
          <cell r="AW5">
            <v>1.6531665432685401</v>
          </cell>
          <cell r="AX5">
            <v>1.668904448562456</v>
          </cell>
          <cell r="AY5">
            <v>1.6892682437627446</v>
          </cell>
          <cell r="AZ5">
            <v>1.7188129448099905</v>
          </cell>
          <cell r="BA5">
            <v>1.76219375140481</v>
          </cell>
          <cell r="BB5">
            <v>1.8241748318056623</v>
          </cell>
          <cell r="BC5">
            <v>1.914179442982854</v>
          </cell>
          <cell r="BD5">
            <v>2.0282126660741553</v>
          </cell>
          <cell r="BE5">
            <v>2.1805604865032011</v>
          </cell>
          <cell r="BF5">
            <v>2.3629391646802778</v>
          </cell>
          <cell r="BG5">
            <v>2.5947548883328704</v>
          </cell>
          <cell r="BH5">
            <v>2.8682025930416941</v>
          </cell>
          <cell r="BI5">
            <v>3.1895529223867629</v>
          </cell>
          <cell r="BJ5">
            <v>3.5513885929398392</v>
          </cell>
          <cell r="BK5">
            <v>3.9462997467870622</v>
          </cell>
          <cell r="BL5">
            <v>4.3571618133127457</v>
          </cell>
          <cell r="BM5">
            <v>4.7759009695713157</v>
          </cell>
          <cell r="BN5">
            <v>5.2039103386985293</v>
          </cell>
          <cell r="BO5">
            <v>5.5976588879717868</v>
          </cell>
          <cell r="BP5">
            <v>5.9815075529850468</v>
          </cell>
          <cell r="BQ5">
            <v>6.3452822414503514</v>
          </cell>
          <cell r="BR5">
            <v>6.7039983253087714</v>
          </cell>
          <cell r="BS5">
            <v>7.2227914465542717</v>
          </cell>
          <cell r="BT5">
            <v>7.6591592812423785</v>
          </cell>
          <cell r="BU5">
            <v>8.1623630510769409</v>
          </cell>
          <cell r="BV5">
            <v>8.7893489789010495</v>
          </cell>
          <cell r="BW5">
            <v>9.5521010584604724</v>
          </cell>
          <cell r="BX5">
            <v>10.577633328408922</v>
          </cell>
          <cell r="BY5">
            <v>11.878603945371776</v>
          </cell>
          <cell r="BZ5">
            <v>13.51203415541967</v>
          </cell>
          <cell r="CA5">
            <v>15.518832041176376</v>
          </cell>
          <cell r="CB5">
            <v>17.957094264641498</v>
          </cell>
          <cell r="CC5">
            <v>20.95204513399154</v>
          </cell>
          <cell r="CD5">
            <v>24.997674375337215</v>
          </cell>
          <cell r="CE5">
            <v>30.307600714427469</v>
          </cell>
          <cell r="CF5">
            <v>36.425319934724726</v>
          </cell>
          <cell r="CG5">
            <v>41.690486877229461</v>
          </cell>
          <cell r="CH5">
            <v>47.944302328647915</v>
          </cell>
          <cell r="CI5">
            <v>54.737220590879133</v>
          </cell>
          <cell r="CJ5">
            <v>62.012705245252896</v>
          </cell>
          <cell r="CK5">
            <v>70.744833819481542</v>
          </cell>
          <cell r="CL5">
            <v>81.094030744659619</v>
          </cell>
          <cell r="CM5">
            <v>92.800801302115943</v>
          </cell>
          <cell r="CN5">
            <v>106.19497880665145</v>
          </cell>
          <cell r="CO5">
            <v>120.96326711796692</v>
          </cell>
          <cell r="CP5">
            <v>136.04836143811644</v>
          </cell>
          <cell r="CQ5">
            <v>152.74831243973</v>
          </cell>
          <cell r="CR5">
            <v>171.13884555382216</v>
          </cell>
          <cell r="CS5">
            <v>191.41104294478529</v>
          </cell>
          <cell r="CT5">
            <v>213.33333333333337</v>
          </cell>
          <cell r="CU5">
            <v>237.53501400560228</v>
          </cell>
          <cell r="CV5">
            <v>264.82758620689657</v>
          </cell>
          <cell r="CW5">
            <v>293.87755102040819</v>
          </cell>
          <cell r="CX5">
            <v>338.46153846153851</v>
          </cell>
          <cell r="CY5">
            <v>400</v>
          </cell>
        </row>
        <row r="6">
          <cell r="B6" t="str">
            <v>MUERTE POR CUALQUIER CAUSA MUJER</v>
          </cell>
          <cell r="C6">
            <v>0.64999999999996094</v>
          </cell>
          <cell r="D6">
            <v>0.64999999999996094</v>
          </cell>
          <cell r="E6">
            <v>0.64999999999996094</v>
          </cell>
          <cell r="F6">
            <v>0.64999999999996094</v>
          </cell>
          <cell r="G6">
            <v>0.64999999999996094</v>
          </cell>
          <cell r="H6">
            <v>0.64999999999996094</v>
          </cell>
          <cell r="I6">
            <v>0.64999999999996094</v>
          </cell>
          <cell r="J6">
            <v>0.64999999999996094</v>
          </cell>
          <cell r="K6">
            <v>0.64999999999996094</v>
          </cell>
          <cell r="L6">
            <v>0.64999999999996094</v>
          </cell>
          <cell r="M6">
            <v>0.64999999999996094</v>
          </cell>
          <cell r="N6">
            <v>0.64999999999996094</v>
          </cell>
          <cell r="O6">
            <v>0.64999999999996094</v>
          </cell>
          <cell r="P6">
            <v>0.64999999999996094</v>
          </cell>
          <cell r="Q6">
            <v>0.64999999999996094</v>
          </cell>
          <cell r="R6">
            <v>0.64999999999996094</v>
          </cell>
          <cell r="S6">
            <v>0.64999999999996094</v>
          </cell>
          <cell r="T6">
            <v>0.64999999999996094</v>
          </cell>
          <cell r="U6">
            <v>0.64999999999996094</v>
          </cell>
          <cell r="V6">
            <v>0.65000000000000435</v>
          </cell>
          <cell r="W6">
            <v>0.65</v>
          </cell>
          <cell r="X6">
            <v>0.67087213377390609</v>
          </cell>
          <cell r="Y6">
            <v>0.69182642175342901</v>
          </cell>
          <cell r="Z6">
            <v>0.7078455390670495</v>
          </cell>
          <cell r="AA6">
            <v>0.72895824326090664</v>
          </cell>
          <cell r="AB6">
            <v>0.74512647011438704</v>
          </cell>
          <cell r="AC6">
            <v>0.76640716389012142</v>
          </cell>
          <cell r="AD6">
            <v>0.78273340605179165</v>
          </cell>
          <cell r="AE6">
            <v>0.80419191357212938</v>
          </cell>
          <cell r="AF6">
            <v>0.82068532290421281</v>
          </cell>
          <cell r="AG6">
            <v>0.84233173662417793</v>
          </cell>
          <cell r="AH6">
            <v>0.86408457863169674</v>
          </cell>
          <cell r="AI6">
            <v>0.88594704684317727</v>
          </cell>
          <cell r="AJ6">
            <v>0.91302307551057882</v>
          </cell>
          <cell r="AK6">
            <v>0.94024344129099513</v>
          </cell>
          <cell r="AL6">
            <v>0.96761311858124366</v>
          </cell>
          <cell r="AM6">
            <v>0.99513716478240355</v>
          </cell>
          <cell r="AN6">
            <v>1.0228207236842104</v>
          </cell>
          <cell r="AO6">
            <v>1.0506690289552023</v>
          </cell>
          <cell r="AP6">
            <v>1.0838485915129494</v>
          </cell>
          <cell r="AQ6">
            <v>1.1224099227244044</v>
          </cell>
          <cell r="AR6">
            <v>1.1560393986521513</v>
          </cell>
          <cell r="AS6">
            <v>1.1950907749384267</v>
          </cell>
          <cell r="AT6">
            <v>1.2292050793253955</v>
          </cell>
          <cell r="AU6">
            <v>1.2687837428598281</v>
          </cell>
          <cell r="AV6">
            <v>1.3086538662869827</v>
          </cell>
          <cell r="AW6">
            <v>1.3488264684888944</v>
          </cell>
          <cell r="AX6">
            <v>1.3893128164107313</v>
          </cell>
          <cell r="AY6">
            <v>1.4354016486010113</v>
          </cell>
          <cell r="AZ6">
            <v>1.4924583223074888</v>
          </cell>
          <cell r="BA6">
            <v>1.5606255241896958</v>
          </cell>
          <cell r="BB6">
            <v>1.6453849348768359</v>
          </cell>
          <cell r="BC6">
            <v>1.7576664173522811</v>
          </cell>
          <cell r="BD6">
            <v>1.8925381456342953</v>
          </cell>
          <cell r="BE6">
            <v>2.0665604684203727</v>
          </cell>
          <cell r="BF6">
            <v>2.2750853832519127</v>
          </cell>
          <cell r="BG6">
            <v>2.5352051507551328</v>
          </cell>
          <cell r="BH6">
            <v>2.842769217338164</v>
          </cell>
          <cell r="BI6">
            <v>3.2047412610437358</v>
          </cell>
          <cell r="BJ6">
            <v>3.6175453711988159</v>
          </cell>
          <cell r="BK6">
            <v>4.0667141394810633</v>
          </cell>
          <cell r="BL6">
            <v>4.548768859722923</v>
          </cell>
          <cell r="BM6">
            <v>5.0433581633346165</v>
          </cell>
          <cell r="BN6">
            <v>5.5579062932424552</v>
          </cell>
          <cell r="BO6">
            <v>6.0424882330492302</v>
          </cell>
          <cell r="BP6">
            <v>6.5319691897080521</v>
          </cell>
          <cell r="BQ6">
            <v>6.9979836318348951</v>
          </cell>
          <cell r="BR6">
            <v>7.47022735474558</v>
          </cell>
          <cell r="BS6">
            <v>8.13305978898007</v>
          </cell>
          <cell r="BT6">
            <v>8.7082278166741141</v>
          </cell>
          <cell r="BU6">
            <v>9.3679329905373141</v>
          </cell>
          <cell r="BV6">
            <v>10.184112269859662</v>
          </cell>
          <cell r="BW6">
            <v>11.164704026916203</v>
          </cell>
          <cell r="BX6">
            <v>12.46824127223111</v>
          </cell>
          <cell r="BY6">
            <v>14.131303940221139</v>
          </cell>
          <cell r="BZ6">
            <v>16.209352477157939</v>
          </cell>
          <cell r="CA6">
            <v>18.77593513101365</v>
          </cell>
          <cell r="CB6">
            <v>21.900423535147326</v>
          </cell>
          <cell r="CC6">
            <v>25.771553303698038</v>
          </cell>
          <cell r="CD6">
            <v>31.002217443891951</v>
          </cell>
          <cell r="CE6">
            <v>37.878109497286744</v>
          </cell>
          <cell r="CF6">
            <v>45.536458232410332</v>
          </cell>
          <cell r="CG6">
            <v>52.113757008548831</v>
          </cell>
          <cell r="CH6">
            <v>59.926698081774475</v>
          </cell>
          <cell r="CI6">
            <v>68.425179817208374</v>
          </cell>
          <cell r="CJ6">
            <v>77.519501268757239</v>
          </cell>
          <cell r="CK6">
            <v>88.425033367937132</v>
          </cell>
          <cell r="CL6">
            <v>101.36474191514277</v>
          </cell>
          <cell r="CM6">
            <v>115.98214790124851</v>
          </cell>
          <cell r="CN6">
            <v>132.73262228760575</v>
          </cell>
          <cell r="CO6">
            <v>151.1616262767875</v>
          </cell>
          <cell r="CP6">
            <v>170.01578871824313</v>
          </cell>
          <cell r="CQ6">
            <v>190.95258808177468</v>
          </cell>
          <cell r="CR6">
            <v>213.93384940182969</v>
          </cell>
          <cell r="CS6">
            <v>239.23739237392374</v>
          </cell>
          <cell r="CT6">
            <v>266.50943396226415</v>
          </cell>
          <cell r="CU6">
            <v>296.71717171717171</v>
          </cell>
          <cell r="CV6">
            <v>329.19254658385097</v>
          </cell>
          <cell r="CW6">
            <v>363.63636363636363</v>
          </cell>
          <cell r="CX6">
            <v>400</v>
          </cell>
          <cell r="CY6">
            <v>500</v>
          </cell>
        </row>
        <row r="7">
          <cell r="B7" t="str">
            <v>MUERTE POR CUALQUIER CAUSA HOMBRE</v>
          </cell>
          <cell r="C7">
            <v>1.7800000000000222</v>
          </cell>
          <cell r="D7">
            <v>1.7800000000000222</v>
          </cell>
          <cell r="E7">
            <v>1.7800000000000222</v>
          </cell>
          <cell r="F7">
            <v>1.7800000000000222</v>
          </cell>
          <cell r="G7">
            <v>1.7800000000000222</v>
          </cell>
          <cell r="H7">
            <v>1.7800000000000222</v>
          </cell>
          <cell r="I7">
            <v>1.7800000000000222</v>
          </cell>
          <cell r="J7">
            <v>1.7800000000000222</v>
          </cell>
          <cell r="K7">
            <v>1.7800000000000222</v>
          </cell>
          <cell r="L7">
            <v>1.7800000000000222</v>
          </cell>
          <cell r="M7">
            <v>1.7800000000000222</v>
          </cell>
          <cell r="N7">
            <v>1.7800000000000222</v>
          </cell>
          <cell r="O7">
            <v>1.7800000000000222</v>
          </cell>
          <cell r="P7">
            <v>1.7800000000000222</v>
          </cell>
          <cell r="Q7">
            <v>1.7800000000000222</v>
          </cell>
          <cell r="R7">
            <v>1.7800000000000222</v>
          </cell>
          <cell r="S7">
            <v>1.7800000000000222</v>
          </cell>
          <cell r="T7">
            <v>1.7800000000000222</v>
          </cell>
          <cell r="U7">
            <v>1.7800000000000222</v>
          </cell>
          <cell r="V7">
            <v>1.7800000000000091</v>
          </cell>
          <cell r="W7">
            <v>1.7799999999999998</v>
          </cell>
          <cell r="X7">
            <v>1.7963951667937859</v>
          </cell>
          <cell r="Y7">
            <v>1.8179803799125758</v>
          </cell>
          <cell r="Z7">
            <v>1.8397776092999747</v>
          </cell>
          <cell r="AA7">
            <v>1.8567181745315084</v>
          </cell>
          <cell r="AB7">
            <v>1.8636386781404348</v>
          </cell>
          <cell r="AC7">
            <v>1.8757219229471833</v>
          </cell>
          <cell r="AD7">
            <v>1.8827850854692083</v>
          </cell>
          <cell r="AE7">
            <v>1.8899016427210464</v>
          </cell>
          <cell r="AF7">
            <v>1.8970722024646431</v>
          </cell>
          <cell r="AG7">
            <v>1.8991085605172218</v>
          </cell>
          <cell r="AH7">
            <v>1.9063492890254701</v>
          </cell>
          <cell r="AI7">
            <v>1.9136454422821527</v>
          </cell>
          <cell r="AJ7">
            <v>1.9157490316282291</v>
          </cell>
          <cell r="AK7">
            <v>1.928386267360745</v>
          </cell>
          <cell r="AL7">
            <v>1.9358524097660053</v>
          </cell>
          <cell r="AM7">
            <v>1.9380668181721641</v>
          </cell>
          <cell r="AN7">
            <v>1.9456082557755248</v>
          </cell>
          <cell r="AO7">
            <v>1.9532086133824222</v>
          </cell>
          <cell r="AP7">
            <v>1.9608685841991598</v>
          </cell>
          <cell r="AQ7">
            <v>1.9739822665199662</v>
          </cell>
          <cell r="AR7">
            <v>1.9872211392679231</v>
          </cell>
          <cell r="AS7">
            <v>2.0005871288312873</v>
          </cell>
          <cell r="AT7">
            <v>2.0140822007532337</v>
          </cell>
          <cell r="AU7">
            <v>2.0331886536016484</v>
          </cell>
          <cell r="AV7">
            <v>2.0469927915038792</v>
          </cell>
          <cell r="AW7">
            <v>2.0664581790856751</v>
          </cell>
          <cell r="AX7">
            <v>2.08613056070307</v>
          </cell>
          <cell r="AY7">
            <v>2.1115853047034308</v>
          </cell>
          <cell r="AZ7">
            <v>2.148516181012488</v>
          </cell>
          <cell r="BA7">
            <v>2.2027421892560124</v>
          </cell>
          <cell r="BB7">
            <v>2.2802185397570778</v>
          </cell>
          <cell r="BC7">
            <v>2.3927243037285675</v>
          </cell>
          <cell r="BD7">
            <v>2.5352658325926938</v>
          </cell>
          <cell r="BE7">
            <v>2.7257006081290012</v>
          </cell>
          <cell r="BF7">
            <v>2.9536739558503471</v>
          </cell>
          <cell r="BG7">
            <v>3.2434436104160875</v>
          </cell>
          <cell r="BH7">
            <v>3.5852532413021172</v>
          </cell>
          <cell r="BI7">
            <v>3.9869411529834533</v>
          </cell>
          <cell r="BJ7">
            <v>4.4392357411747989</v>
          </cell>
          <cell r="BK7">
            <v>4.9328746834838277</v>
          </cell>
          <cell r="BL7">
            <v>5.4464522666409323</v>
          </cell>
          <cell r="BM7">
            <v>5.9698762119641442</v>
          </cell>
          <cell r="BN7">
            <v>6.5048879233731611</v>
          </cell>
          <cell r="BO7">
            <v>6.9970736099647333</v>
          </cell>
          <cell r="BP7">
            <v>7.4768844412313085</v>
          </cell>
          <cell r="BQ7">
            <v>7.9316028018129385</v>
          </cell>
          <cell r="BR7">
            <v>8.379997906635964</v>
          </cell>
          <cell r="BS7">
            <v>9.0284893081928388</v>
          </cell>
          <cell r="BT7">
            <v>9.573949101552973</v>
          </cell>
          <cell r="BU7">
            <v>10.202953813846175</v>
          </cell>
          <cell r="BV7">
            <v>10.986686223626311</v>
          </cell>
          <cell r="BW7">
            <v>11.940126323075591</v>
          </cell>
          <cell r="BX7">
            <v>13.222041660511152</v>
          </cell>
          <cell r="BY7">
            <v>14.848254931714719</v>
          </cell>
          <cell r="BZ7">
            <v>16.890042694274587</v>
          </cell>
          <cell r="CA7">
            <v>19.398540051470469</v>
          </cell>
          <cell r="CB7">
            <v>22.446367830801872</v>
          </cell>
          <cell r="CC7">
            <v>26.190056417489423</v>
          </cell>
          <cell r="CD7">
            <v>31.247092969171518</v>
          </cell>
          <cell r="CE7">
            <v>37.884500893034335</v>
          </cell>
          <cell r="CF7">
            <v>45.531649918405904</v>
          </cell>
          <cell r="CG7">
            <v>52.113108596536819</v>
          </cell>
          <cell r="CH7">
            <v>59.930377910809888</v>
          </cell>
          <cell r="CI7">
            <v>68.421525738598916</v>
          </cell>
          <cell r="CJ7">
            <v>77.515881556566114</v>
          </cell>
          <cell r="CK7">
            <v>88.431042274351924</v>
          </cell>
          <cell r="CL7">
            <v>101.36753843082452</v>
          </cell>
          <cell r="CM7">
            <v>116.00100162764492</v>
          </cell>
          <cell r="CN7">
            <v>132.7437235083143</v>
          </cell>
          <cell r="CO7">
            <v>151.20408389745864</v>
          </cell>
          <cell r="CP7">
            <v>170.06045179764556</v>
          </cell>
          <cell r="CQ7">
            <v>190.93539054966249</v>
          </cell>
          <cell r="CR7">
            <v>213.92355694227768</v>
          </cell>
          <cell r="CS7">
            <v>239.2638036809816</v>
          </cell>
          <cell r="CT7">
            <v>266.66666666666669</v>
          </cell>
          <cell r="CU7">
            <v>296.91876750700283</v>
          </cell>
          <cell r="CV7">
            <v>331.0344827586207</v>
          </cell>
          <cell r="CW7">
            <v>367.34693877551024</v>
          </cell>
          <cell r="CX7">
            <v>423.07692307692309</v>
          </cell>
          <cell r="CY7">
            <v>500</v>
          </cell>
        </row>
        <row r="8">
          <cell r="B8" t="str">
            <v>INCAPACIDAD TOTAL Y PERMANENTE</v>
          </cell>
          <cell r="C8">
            <v>0.128</v>
          </cell>
          <cell r="D8">
            <v>0.128</v>
          </cell>
          <cell r="E8">
            <v>0.128</v>
          </cell>
          <cell r="F8">
            <v>0.128</v>
          </cell>
          <cell r="G8">
            <v>0.128</v>
          </cell>
          <cell r="H8">
            <v>0.128</v>
          </cell>
          <cell r="I8">
            <v>0.128</v>
          </cell>
          <cell r="J8">
            <v>0.128</v>
          </cell>
          <cell r="K8">
            <v>0.128</v>
          </cell>
          <cell r="L8">
            <v>0.128</v>
          </cell>
          <cell r="M8">
            <v>0.128</v>
          </cell>
          <cell r="N8">
            <v>0.128</v>
          </cell>
          <cell r="O8">
            <v>0.128</v>
          </cell>
          <cell r="P8">
            <v>0.128</v>
          </cell>
          <cell r="Q8">
            <v>0.128</v>
          </cell>
          <cell r="R8">
            <v>0.128</v>
          </cell>
          <cell r="S8">
            <v>0.128</v>
          </cell>
          <cell r="T8">
            <v>0.128</v>
          </cell>
          <cell r="U8">
            <v>0.128</v>
          </cell>
          <cell r="V8">
            <v>0.128</v>
          </cell>
          <cell r="W8">
            <v>0.128</v>
          </cell>
          <cell r="X8">
            <v>0.12</v>
          </cell>
          <cell r="Y8">
            <v>0.11200000000000002</v>
          </cell>
          <cell r="Z8">
            <v>0.10400000000000001</v>
          </cell>
          <cell r="AA8">
            <v>9.6000000000000002E-2</v>
          </cell>
          <cell r="AB8">
            <v>9.6000000000000002E-2</v>
          </cell>
          <cell r="AC8">
            <v>9.6000000000000002E-2</v>
          </cell>
          <cell r="AD8">
            <v>8.8000000000000009E-2</v>
          </cell>
          <cell r="AE8">
            <v>8.8000000000000009E-2</v>
          </cell>
          <cell r="AF8">
            <v>9.6000000000000002E-2</v>
          </cell>
          <cell r="AG8">
            <v>9.6000000000000002E-2</v>
          </cell>
          <cell r="AH8">
            <v>9.6000000000000002E-2</v>
          </cell>
          <cell r="AI8">
            <v>0.10400000000000001</v>
          </cell>
          <cell r="AJ8">
            <v>0.11200000000000002</v>
          </cell>
          <cell r="AK8">
            <v>0.12</v>
          </cell>
          <cell r="AL8">
            <v>0.128</v>
          </cell>
          <cell r="AM8">
            <v>0.13600000000000001</v>
          </cell>
          <cell r="AN8">
            <v>0.14399999999999999</v>
          </cell>
          <cell r="AO8">
            <v>0.16000000000000003</v>
          </cell>
          <cell r="AP8">
            <v>0.17600000000000002</v>
          </cell>
          <cell r="AQ8">
            <v>0.18400000000000002</v>
          </cell>
          <cell r="AR8">
            <v>0.2</v>
          </cell>
          <cell r="AS8">
            <v>0.22400000000000003</v>
          </cell>
          <cell r="AT8">
            <v>0.24</v>
          </cell>
          <cell r="AU8">
            <v>0.25600000000000001</v>
          </cell>
          <cell r="AV8">
            <v>0.27999999999999997</v>
          </cell>
          <cell r="AW8">
            <v>0.30400000000000005</v>
          </cell>
          <cell r="AX8">
            <v>0.32800000000000001</v>
          </cell>
          <cell r="AY8">
            <v>0.35200000000000004</v>
          </cell>
          <cell r="AZ8">
            <v>0.376</v>
          </cell>
          <cell r="BA8">
            <v>0.40800000000000003</v>
          </cell>
          <cell r="BB8">
            <v>0.43200000000000005</v>
          </cell>
          <cell r="BC8">
            <v>0.46399999999999997</v>
          </cell>
          <cell r="BD8">
            <v>0.496</v>
          </cell>
          <cell r="BE8">
            <v>0.52800000000000002</v>
          </cell>
          <cell r="BF8">
            <v>0.55999999999999994</v>
          </cell>
          <cell r="BG8">
            <v>0.59199999999999997</v>
          </cell>
          <cell r="BH8">
            <v>0.63200000000000012</v>
          </cell>
          <cell r="BI8">
            <v>0.67200000000000004</v>
          </cell>
          <cell r="BJ8">
            <v>0.70400000000000007</v>
          </cell>
          <cell r="BK8">
            <v>0.74400000000000011</v>
          </cell>
          <cell r="BL8">
            <v>0.79200000000000004</v>
          </cell>
          <cell r="BM8">
            <v>0.83200000000000007</v>
          </cell>
          <cell r="BN8">
            <v>0.872</v>
          </cell>
          <cell r="BO8">
            <v>0.91999999999999993</v>
          </cell>
          <cell r="BP8">
            <v>0.96799999999999997</v>
          </cell>
          <cell r="BQ8">
            <v>1.016</v>
          </cell>
          <cell r="BR8">
            <v>1.0640000000000001</v>
          </cell>
          <cell r="BS8">
            <v>1.1119999999999999</v>
          </cell>
          <cell r="BT8">
            <v>1.1599999999999999</v>
          </cell>
          <cell r="BU8">
            <v>1.2160000000000002</v>
          </cell>
          <cell r="BV8">
            <v>1.2160000000000002</v>
          </cell>
          <cell r="BW8">
            <v>1.2160000000000002</v>
          </cell>
          <cell r="BX8">
            <v>1.2160000000000002</v>
          </cell>
          <cell r="BY8">
            <v>1.2160000000000002</v>
          </cell>
          <cell r="BZ8">
            <v>1.2160000000000002</v>
          </cell>
        </row>
        <row r="9">
          <cell r="B9" t="str">
            <v xml:space="preserve">INDEMNIZACION ADICIONAL POR MUERTE ACCIDENTAL </v>
          </cell>
          <cell r="C9">
            <v>0.39</v>
          </cell>
          <cell r="D9">
            <v>0.39</v>
          </cell>
          <cell r="E9">
            <v>0.39</v>
          </cell>
          <cell r="F9">
            <v>0.39</v>
          </cell>
          <cell r="G9">
            <v>0.39</v>
          </cell>
          <cell r="H9">
            <v>0.39</v>
          </cell>
          <cell r="I9">
            <v>0.39</v>
          </cell>
          <cell r="J9">
            <v>0.39</v>
          </cell>
          <cell r="K9">
            <v>0.39</v>
          </cell>
          <cell r="L9">
            <v>0.39</v>
          </cell>
          <cell r="M9">
            <v>0.39</v>
          </cell>
          <cell r="N9">
            <v>0.39</v>
          </cell>
          <cell r="O9">
            <v>0.39</v>
          </cell>
          <cell r="P9">
            <v>0.39</v>
          </cell>
          <cell r="Q9">
            <v>0.39</v>
          </cell>
          <cell r="R9">
            <v>0.39</v>
          </cell>
          <cell r="S9">
            <v>0.39</v>
          </cell>
          <cell r="T9">
            <v>0.39</v>
          </cell>
          <cell r="U9">
            <v>0.39</v>
          </cell>
          <cell r="V9">
            <v>0.39</v>
          </cell>
          <cell r="W9">
            <v>0.39</v>
          </cell>
          <cell r="X9">
            <v>0.39</v>
          </cell>
          <cell r="Y9">
            <v>0.39</v>
          </cell>
          <cell r="Z9">
            <v>0.39</v>
          </cell>
          <cell r="AA9">
            <v>0.39</v>
          </cell>
          <cell r="AB9">
            <v>0.39</v>
          </cell>
          <cell r="AC9">
            <v>0.39</v>
          </cell>
          <cell r="AD9">
            <v>0.39</v>
          </cell>
          <cell r="AE9">
            <v>0.39</v>
          </cell>
          <cell r="AF9">
            <v>0.39</v>
          </cell>
          <cell r="AG9">
            <v>0.39</v>
          </cell>
          <cell r="AH9">
            <v>0.39</v>
          </cell>
          <cell r="AI9">
            <v>0.39</v>
          </cell>
          <cell r="AJ9">
            <v>0.39</v>
          </cell>
          <cell r="AK9">
            <v>0.39</v>
          </cell>
          <cell r="AL9">
            <v>0.39</v>
          </cell>
          <cell r="AM9">
            <v>0.39</v>
          </cell>
          <cell r="AN9">
            <v>0.39</v>
          </cell>
          <cell r="AO9">
            <v>0.39</v>
          </cell>
          <cell r="AP9">
            <v>0.39</v>
          </cell>
          <cell r="AQ9">
            <v>0.39</v>
          </cell>
          <cell r="AR9">
            <v>0.39</v>
          </cell>
          <cell r="AS9">
            <v>0.39</v>
          </cell>
          <cell r="AT9">
            <v>0.39</v>
          </cell>
          <cell r="AU9">
            <v>0.39</v>
          </cell>
          <cell r="AV9">
            <v>0.39</v>
          </cell>
          <cell r="AW9">
            <v>0.39</v>
          </cell>
          <cell r="AX9">
            <v>0.39</v>
          </cell>
          <cell r="AY9">
            <v>0.39</v>
          </cell>
          <cell r="AZ9">
            <v>0.39</v>
          </cell>
          <cell r="BA9">
            <v>0.39</v>
          </cell>
          <cell r="BB9">
            <v>0.39</v>
          </cell>
          <cell r="BC9">
            <v>0.39</v>
          </cell>
          <cell r="BD9">
            <v>0.39</v>
          </cell>
          <cell r="BE9">
            <v>0.39</v>
          </cell>
          <cell r="BF9">
            <v>0.39</v>
          </cell>
          <cell r="BG9">
            <v>0.39</v>
          </cell>
          <cell r="BH9">
            <v>0.39</v>
          </cell>
          <cell r="BI9">
            <v>0.39</v>
          </cell>
          <cell r="BJ9">
            <v>0.39</v>
          </cell>
          <cell r="BK9">
            <v>0.39</v>
          </cell>
          <cell r="BL9">
            <v>0.39</v>
          </cell>
          <cell r="BM9">
            <v>0.39</v>
          </cell>
          <cell r="BN9">
            <v>0.39</v>
          </cell>
          <cell r="BO9">
            <v>0.39</v>
          </cell>
          <cell r="BP9">
            <v>0.39</v>
          </cell>
          <cell r="BQ9">
            <v>0.39</v>
          </cell>
          <cell r="BR9">
            <v>0.39</v>
          </cell>
          <cell r="BS9">
            <v>0.39</v>
          </cell>
          <cell r="BT9">
            <v>0.39</v>
          </cell>
          <cell r="BU9">
            <v>0.39</v>
          </cell>
          <cell r="BV9">
            <v>0.39</v>
          </cell>
          <cell r="BW9">
            <v>0.39</v>
          </cell>
          <cell r="BX9">
            <v>0.39</v>
          </cell>
          <cell r="BY9">
            <v>0.39</v>
          </cell>
          <cell r="BZ9">
            <v>0.39</v>
          </cell>
        </row>
        <row r="10">
          <cell r="B10" t="str">
            <v>DESMEMBRACIÓN ACCIDENTAL</v>
          </cell>
          <cell r="C10">
            <v>2.912E-2</v>
          </cell>
          <cell r="D10">
            <v>2.912E-2</v>
          </cell>
          <cell r="E10">
            <v>2.912E-2</v>
          </cell>
          <cell r="F10">
            <v>2.912E-2</v>
          </cell>
          <cell r="G10">
            <v>2.912E-2</v>
          </cell>
          <cell r="H10">
            <v>2.912E-2</v>
          </cell>
          <cell r="I10">
            <v>2.912E-2</v>
          </cell>
          <cell r="J10">
            <v>2.912E-2</v>
          </cell>
          <cell r="K10">
            <v>2.912E-2</v>
          </cell>
          <cell r="L10">
            <v>2.912E-2</v>
          </cell>
          <cell r="M10">
            <v>2.912E-2</v>
          </cell>
          <cell r="N10">
            <v>2.912E-2</v>
          </cell>
          <cell r="O10">
            <v>2.912E-2</v>
          </cell>
          <cell r="P10">
            <v>2.912E-2</v>
          </cell>
          <cell r="Q10">
            <v>2.912E-2</v>
          </cell>
          <cell r="R10">
            <v>2.912E-2</v>
          </cell>
          <cell r="S10">
            <v>2.912E-2</v>
          </cell>
          <cell r="T10">
            <v>2.912E-2</v>
          </cell>
          <cell r="U10">
            <v>2.912E-2</v>
          </cell>
          <cell r="V10">
            <v>2.912E-2</v>
          </cell>
          <cell r="W10">
            <v>2.912E-2</v>
          </cell>
          <cell r="X10">
            <v>2.912E-2</v>
          </cell>
          <cell r="Y10">
            <v>2.912E-2</v>
          </cell>
          <cell r="Z10">
            <v>2.912E-2</v>
          </cell>
          <cell r="AA10">
            <v>2.912E-2</v>
          </cell>
          <cell r="AB10">
            <v>2.912E-2</v>
          </cell>
          <cell r="AC10">
            <v>2.912E-2</v>
          </cell>
          <cell r="AD10">
            <v>2.912E-2</v>
          </cell>
          <cell r="AE10">
            <v>2.912E-2</v>
          </cell>
          <cell r="AF10">
            <v>2.912E-2</v>
          </cell>
          <cell r="AG10">
            <v>2.912E-2</v>
          </cell>
          <cell r="AH10">
            <v>2.912E-2</v>
          </cell>
          <cell r="AI10">
            <v>2.912E-2</v>
          </cell>
          <cell r="AJ10">
            <v>2.912E-2</v>
          </cell>
          <cell r="AK10">
            <v>2.912E-2</v>
          </cell>
          <cell r="AL10">
            <v>2.912E-2</v>
          </cell>
          <cell r="AM10">
            <v>2.912E-2</v>
          </cell>
          <cell r="AN10">
            <v>2.912E-2</v>
          </cell>
          <cell r="AO10">
            <v>2.912E-2</v>
          </cell>
          <cell r="AP10">
            <v>2.912E-2</v>
          </cell>
          <cell r="AQ10">
            <v>2.912E-2</v>
          </cell>
          <cell r="AR10">
            <v>2.912E-2</v>
          </cell>
          <cell r="AS10">
            <v>2.912E-2</v>
          </cell>
          <cell r="AT10">
            <v>2.912E-2</v>
          </cell>
          <cell r="AU10">
            <v>2.912E-2</v>
          </cell>
          <cell r="AV10">
            <v>2.912E-2</v>
          </cell>
          <cell r="AW10">
            <v>2.912E-2</v>
          </cell>
          <cell r="AX10">
            <v>2.912E-2</v>
          </cell>
          <cell r="AY10">
            <v>2.912E-2</v>
          </cell>
          <cell r="AZ10">
            <v>2.912E-2</v>
          </cell>
          <cell r="BA10">
            <v>2.912E-2</v>
          </cell>
          <cell r="BB10">
            <v>2.912E-2</v>
          </cell>
          <cell r="BC10">
            <v>2.912E-2</v>
          </cell>
          <cell r="BD10">
            <v>2.912E-2</v>
          </cell>
          <cell r="BE10">
            <v>2.912E-2</v>
          </cell>
          <cell r="BF10">
            <v>2.912E-2</v>
          </cell>
          <cell r="BG10">
            <v>2.912E-2</v>
          </cell>
          <cell r="BH10">
            <v>2.912E-2</v>
          </cell>
          <cell r="BI10">
            <v>2.912E-2</v>
          </cell>
          <cell r="BJ10">
            <v>2.912E-2</v>
          </cell>
          <cell r="BK10">
            <v>2.912E-2</v>
          </cell>
          <cell r="BL10">
            <v>2.912E-2</v>
          </cell>
          <cell r="BM10">
            <v>2.912E-2</v>
          </cell>
          <cell r="BN10">
            <v>2.912E-2</v>
          </cell>
          <cell r="BO10">
            <v>2.912E-2</v>
          </cell>
          <cell r="BP10">
            <v>2.912E-2</v>
          </cell>
          <cell r="BQ10">
            <v>2.912E-2</v>
          </cell>
          <cell r="BR10">
            <v>2.912E-2</v>
          </cell>
          <cell r="BS10">
            <v>2.912E-2</v>
          </cell>
          <cell r="BT10">
            <v>2.912E-2</v>
          </cell>
          <cell r="BU10">
            <v>2.912E-2</v>
          </cell>
          <cell r="BV10">
            <v>2.912E-2</v>
          </cell>
          <cell r="BW10">
            <v>2.912E-2</v>
          </cell>
          <cell r="BX10">
            <v>2.912E-2</v>
          </cell>
          <cell r="BY10">
            <v>2.912E-2</v>
          </cell>
          <cell r="BZ10">
            <v>2.912E-2</v>
          </cell>
        </row>
        <row r="11">
          <cell r="B11" t="str">
            <v>ENFERMEDADES GRAVES COMO ANTICIPO</v>
          </cell>
          <cell r="C11">
            <v>1.0740000000000003</v>
          </cell>
          <cell r="D11">
            <v>1.0740000000000003</v>
          </cell>
          <cell r="E11">
            <v>1.0740000000000003</v>
          </cell>
          <cell r="F11">
            <v>1.0740000000000003</v>
          </cell>
          <cell r="G11">
            <v>1.0740000000000003</v>
          </cell>
          <cell r="H11">
            <v>1.0740000000000003</v>
          </cell>
          <cell r="I11">
            <v>1.0740000000000003</v>
          </cell>
          <cell r="J11">
            <v>1.0740000000000003</v>
          </cell>
          <cell r="K11">
            <v>1.0740000000000003</v>
          </cell>
          <cell r="L11">
            <v>1.0740000000000003</v>
          </cell>
          <cell r="M11">
            <v>1.0740000000000003</v>
          </cell>
          <cell r="N11">
            <v>1.0740000000000003</v>
          </cell>
          <cell r="O11">
            <v>1.0740000000000003</v>
          </cell>
          <cell r="P11">
            <v>1.0740000000000003</v>
          </cell>
          <cell r="Q11">
            <v>1.0740000000000003</v>
          </cell>
          <cell r="R11">
            <v>1.0740000000000003</v>
          </cell>
          <cell r="S11">
            <v>1.0740000000000003</v>
          </cell>
          <cell r="T11">
            <v>1.0740000000000003</v>
          </cell>
          <cell r="U11">
            <v>1.0740000000000003</v>
          </cell>
          <cell r="V11">
            <v>1.0740000000000003</v>
          </cell>
          <cell r="W11">
            <v>1.0740000000000003</v>
          </cell>
          <cell r="X11">
            <v>1.0740000000000003</v>
          </cell>
          <cell r="Y11">
            <v>1.0740000000000003</v>
          </cell>
          <cell r="Z11">
            <v>1.0740000000000003</v>
          </cell>
          <cell r="AA11">
            <v>1.0740000000000003</v>
          </cell>
          <cell r="AB11">
            <v>1.0740000000000003</v>
          </cell>
          <cell r="AC11">
            <v>1.0740000000000003</v>
          </cell>
          <cell r="AD11">
            <v>1.0740000000000003</v>
          </cell>
          <cell r="AE11">
            <v>1.0740000000000003</v>
          </cell>
          <cell r="AF11">
            <v>1.0740000000000003</v>
          </cell>
          <cell r="AG11">
            <v>1.0740000000000003</v>
          </cell>
          <cell r="AH11">
            <v>1.0740000000000003</v>
          </cell>
          <cell r="AI11">
            <v>1.0740000000000003</v>
          </cell>
          <cell r="AJ11">
            <v>1.0740000000000003</v>
          </cell>
          <cell r="AK11">
            <v>1.0740000000000003</v>
          </cell>
          <cell r="AL11">
            <v>1.0740000000000003</v>
          </cell>
          <cell r="AM11">
            <v>1.0740000000000003</v>
          </cell>
          <cell r="AN11">
            <v>1.0740000000000003</v>
          </cell>
          <cell r="AO11">
            <v>1.0740000000000003</v>
          </cell>
          <cell r="AP11">
            <v>1.0740000000000003</v>
          </cell>
          <cell r="AQ11">
            <v>1.0740000000000003</v>
          </cell>
          <cell r="AR11">
            <v>1.0740000000000003</v>
          </cell>
          <cell r="AS11">
            <v>1.0740000000000003</v>
          </cell>
          <cell r="AT11">
            <v>1.0740000000000003</v>
          </cell>
          <cell r="AU11">
            <v>1.0740000000000003</v>
          </cell>
          <cell r="AV11">
            <v>1.0740000000000003</v>
          </cell>
          <cell r="AW11">
            <v>1.0740000000000003</v>
          </cell>
          <cell r="AX11">
            <v>1.0740000000000003</v>
          </cell>
          <cell r="AY11">
            <v>1.0740000000000003</v>
          </cell>
          <cell r="AZ11">
            <v>1.0740000000000003</v>
          </cell>
          <cell r="BA11">
            <v>1.0740000000000003</v>
          </cell>
          <cell r="BB11">
            <v>1.0740000000000003</v>
          </cell>
          <cell r="BC11">
            <v>1.0740000000000003</v>
          </cell>
          <cell r="BD11">
            <v>1.0740000000000003</v>
          </cell>
          <cell r="BE11">
            <v>1.0740000000000003</v>
          </cell>
          <cell r="BF11">
            <v>1.0740000000000003</v>
          </cell>
          <cell r="BG11">
            <v>1.0740000000000003</v>
          </cell>
          <cell r="BH11">
            <v>1.0740000000000003</v>
          </cell>
          <cell r="BI11">
            <v>1.0740000000000003</v>
          </cell>
          <cell r="BJ11">
            <v>1.0740000000000003</v>
          </cell>
          <cell r="BK11">
            <v>1.0740000000000003</v>
          </cell>
          <cell r="BL11">
            <v>1.0740000000000003</v>
          </cell>
          <cell r="BM11">
            <v>1.0740000000000003</v>
          </cell>
          <cell r="BN11">
            <v>1.0740000000000003</v>
          </cell>
          <cell r="BO11">
            <v>1.0740000000000003</v>
          </cell>
          <cell r="BP11">
            <v>1.0740000000000003</v>
          </cell>
          <cell r="BQ11">
            <v>1.0740000000000003</v>
          </cell>
          <cell r="BR11">
            <v>1.0740000000000003</v>
          </cell>
          <cell r="BS11">
            <v>1.0740000000000003</v>
          </cell>
          <cell r="BT11">
            <v>1.0740000000000003</v>
          </cell>
          <cell r="BU11">
            <v>1.0740000000000003</v>
          </cell>
          <cell r="BV11">
            <v>1.0740000000000003</v>
          </cell>
          <cell r="BW11">
            <v>1.0740000000000003</v>
          </cell>
          <cell r="BX11">
            <v>1.0740000000000003</v>
          </cell>
          <cell r="BY11">
            <v>1.0740000000000003</v>
          </cell>
          <cell r="BZ11">
            <v>1.0740000000000003</v>
          </cell>
        </row>
        <row r="12">
          <cell r="B12" t="str">
            <v>ENFERMEDADES GRAVES COMO VALOR ADICIONAL</v>
          </cell>
          <cell r="C12">
            <v>3.3120000000000003</v>
          </cell>
          <cell r="D12">
            <v>3.3120000000000003</v>
          </cell>
          <cell r="E12">
            <v>3.3120000000000003</v>
          </cell>
          <cell r="F12">
            <v>3.3120000000000003</v>
          </cell>
          <cell r="G12">
            <v>3.3120000000000003</v>
          </cell>
          <cell r="H12">
            <v>3.3120000000000003</v>
          </cell>
          <cell r="I12">
            <v>3.3120000000000003</v>
          </cell>
          <cell r="J12">
            <v>3.3120000000000003</v>
          </cell>
          <cell r="K12">
            <v>3.3120000000000003</v>
          </cell>
          <cell r="L12">
            <v>3.3120000000000003</v>
          </cell>
          <cell r="M12">
            <v>3.3120000000000003</v>
          </cell>
          <cell r="N12">
            <v>3.3120000000000003</v>
          </cell>
          <cell r="O12">
            <v>3.3120000000000003</v>
          </cell>
          <cell r="P12">
            <v>3.3120000000000003</v>
          </cell>
          <cell r="Q12">
            <v>3.3120000000000003</v>
          </cell>
          <cell r="R12">
            <v>3.3120000000000003</v>
          </cell>
          <cell r="S12">
            <v>3.3120000000000003</v>
          </cell>
          <cell r="T12">
            <v>3.3120000000000003</v>
          </cell>
          <cell r="U12">
            <v>3.3120000000000003</v>
          </cell>
          <cell r="V12">
            <v>3.3120000000000003</v>
          </cell>
          <cell r="W12">
            <v>3.3120000000000003</v>
          </cell>
          <cell r="X12">
            <v>3.3120000000000003</v>
          </cell>
          <cell r="Y12">
            <v>3.3120000000000003</v>
          </cell>
          <cell r="Z12">
            <v>3.3120000000000003</v>
          </cell>
          <cell r="AA12">
            <v>3.3120000000000003</v>
          </cell>
          <cell r="AB12">
            <v>3.3120000000000003</v>
          </cell>
          <cell r="AC12">
            <v>3.3120000000000003</v>
          </cell>
          <cell r="AD12">
            <v>3.3120000000000003</v>
          </cell>
          <cell r="AE12">
            <v>3.3120000000000003</v>
          </cell>
          <cell r="AF12">
            <v>3.3120000000000003</v>
          </cell>
          <cell r="AG12">
            <v>3.3120000000000003</v>
          </cell>
          <cell r="AH12">
            <v>3.3120000000000003</v>
          </cell>
          <cell r="AI12">
            <v>3.3120000000000003</v>
          </cell>
          <cell r="AJ12">
            <v>3.3120000000000003</v>
          </cell>
          <cell r="AK12">
            <v>3.3120000000000003</v>
          </cell>
          <cell r="AL12">
            <v>3.3120000000000003</v>
          </cell>
          <cell r="AM12">
            <v>3.3120000000000003</v>
          </cell>
          <cell r="AN12">
            <v>3.3120000000000003</v>
          </cell>
          <cell r="AO12">
            <v>3.3120000000000003</v>
          </cell>
          <cell r="AP12">
            <v>3.3120000000000003</v>
          </cell>
          <cell r="AQ12">
            <v>3.3120000000000003</v>
          </cell>
          <cell r="AR12">
            <v>3.3120000000000003</v>
          </cell>
          <cell r="AS12">
            <v>3.3120000000000003</v>
          </cell>
          <cell r="AT12">
            <v>3.3120000000000003</v>
          </cell>
          <cell r="AU12">
            <v>3.3120000000000003</v>
          </cell>
          <cell r="AV12">
            <v>3.3120000000000003</v>
          </cell>
          <cell r="AW12">
            <v>3.3120000000000003</v>
          </cell>
          <cell r="AX12">
            <v>3.3120000000000003</v>
          </cell>
          <cell r="AY12">
            <v>3.3120000000000003</v>
          </cell>
          <cell r="AZ12">
            <v>3.3120000000000003</v>
          </cell>
          <cell r="BA12">
            <v>3.3120000000000003</v>
          </cell>
          <cell r="BB12">
            <v>3.3120000000000003</v>
          </cell>
          <cell r="BC12">
            <v>3.3120000000000003</v>
          </cell>
          <cell r="BD12">
            <v>3.3120000000000003</v>
          </cell>
          <cell r="BE12">
            <v>3.3120000000000003</v>
          </cell>
          <cell r="BF12">
            <v>3.3120000000000003</v>
          </cell>
          <cell r="BG12">
            <v>3.3120000000000003</v>
          </cell>
          <cell r="BH12">
            <v>3.3120000000000003</v>
          </cell>
          <cell r="BI12">
            <v>3.3120000000000003</v>
          </cell>
          <cell r="BJ12">
            <v>3.3120000000000003</v>
          </cell>
          <cell r="BK12">
            <v>3.3120000000000003</v>
          </cell>
          <cell r="BL12">
            <v>3.3120000000000003</v>
          </cell>
          <cell r="BM12">
            <v>3.3120000000000003</v>
          </cell>
          <cell r="BN12">
            <v>3.3120000000000003</v>
          </cell>
          <cell r="BO12">
            <v>3.3120000000000003</v>
          </cell>
          <cell r="BP12">
            <v>3.3120000000000003</v>
          </cell>
          <cell r="BQ12">
            <v>3.3120000000000003</v>
          </cell>
          <cell r="BR12">
            <v>3.3120000000000003</v>
          </cell>
          <cell r="BS12">
            <v>3.3120000000000003</v>
          </cell>
          <cell r="BT12">
            <v>3.3120000000000003</v>
          </cell>
          <cell r="BU12">
            <v>3.3120000000000003</v>
          </cell>
          <cell r="BV12">
            <v>3.3120000000000003</v>
          </cell>
          <cell r="BW12">
            <v>3.3120000000000003</v>
          </cell>
          <cell r="BX12">
            <v>3.3120000000000003</v>
          </cell>
          <cell r="BY12">
            <v>3.3120000000000003</v>
          </cell>
          <cell r="BZ12">
            <v>3.3120000000000003</v>
          </cell>
        </row>
        <row r="13">
          <cell r="B13" t="str">
            <v>AUXILIO FUNERARIO</v>
          </cell>
          <cell r="C13">
            <v>1.2149999999999916</v>
          </cell>
          <cell r="D13">
            <v>1.2149999999999916</v>
          </cell>
          <cell r="E13">
            <v>1.2149999999999916</v>
          </cell>
          <cell r="F13">
            <v>1.2149999999999916</v>
          </cell>
          <cell r="G13">
            <v>1.2149999999999916</v>
          </cell>
          <cell r="H13">
            <v>1.2149999999999916</v>
          </cell>
          <cell r="I13">
            <v>1.2149999999999916</v>
          </cell>
          <cell r="J13">
            <v>1.2149999999999916</v>
          </cell>
          <cell r="K13">
            <v>1.2149999999999916</v>
          </cell>
          <cell r="L13">
            <v>1.2149999999999916</v>
          </cell>
          <cell r="M13">
            <v>1.2149999999999916</v>
          </cell>
          <cell r="N13">
            <v>1.2149999999999916</v>
          </cell>
          <cell r="O13">
            <v>1.2149999999999916</v>
          </cell>
          <cell r="P13">
            <v>1.2149999999999916</v>
          </cell>
          <cell r="Q13">
            <v>1.2149999999999916</v>
          </cell>
          <cell r="R13">
            <v>1.2149999999999916</v>
          </cell>
          <cell r="S13">
            <v>1.2149999999999916</v>
          </cell>
          <cell r="T13">
            <v>1.2149999999999916</v>
          </cell>
          <cell r="U13">
            <v>1.2149999999999916</v>
          </cell>
          <cell r="V13">
            <v>1.2150000000000067</v>
          </cell>
          <cell r="W13">
            <v>1.2149999999999999</v>
          </cell>
          <cell r="X13">
            <v>1.2336336502838461</v>
          </cell>
          <cell r="Y13">
            <v>1.2549034008330024</v>
          </cell>
          <cell r="Z13">
            <v>1.2738115741835121</v>
          </cell>
          <cell r="AA13">
            <v>1.2928382088962076</v>
          </cell>
          <cell r="AB13">
            <v>1.3043825741274109</v>
          </cell>
          <cell r="AC13">
            <v>1.3210645434186523</v>
          </cell>
          <cell r="AD13">
            <v>1.3327592457605</v>
          </cell>
          <cell r="AE13">
            <v>1.3470467781465878</v>
          </cell>
          <cell r="AF13">
            <v>1.3588787626844279</v>
          </cell>
          <cell r="AG13">
            <v>1.3707201485706999</v>
          </cell>
          <cell r="AH13">
            <v>1.3852169338285834</v>
          </cell>
          <cell r="AI13">
            <v>1.399796244562665</v>
          </cell>
          <cell r="AJ13">
            <v>1.4143860535694039</v>
          </cell>
          <cell r="AK13">
            <v>1.4343148543258701</v>
          </cell>
          <cell r="AL13">
            <v>1.4517327641736244</v>
          </cell>
          <cell r="AM13">
            <v>1.4666019914772839</v>
          </cell>
          <cell r="AN13">
            <v>1.4842144897298675</v>
          </cell>
          <cell r="AO13">
            <v>1.5019388211688123</v>
          </cell>
          <cell r="AP13">
            <v>1.5223585878560546</v>
          </cell>
          <cell r="AQ13">
            <v>1.5481960946221853</v>
          </cell>
          <cell r="AR13">
            <v>1.5716302689600372</v>
          </cell>
          <cell r="AS13">
            <v>1.597838951884857</v>
          </cell>
          <cell r="AT13">
            <v>1.6112657606025871</v>
          </cell>
          <cell r="AU13">
            <v>1.6265509228813189</v>
          </cell>
          <cell r="AV13">
            <v>1.6375942332031035</v>
          </cell>
          <cell r="AW13">
            <v>1.6531665432685401</v>
          </cell>
          <cell r="AX13">
            <v>1.668904448562456</v>
          </cell>
          <cell r="AY13">
            <v>1.6892682437627446</v>
          </cell>
          <cell r="AZ13">
            <v>1.7188129448099905</v>
          </cell>
          <cell r="BA13">
            <v>1.76219375140481</v>
          </cell>
          <cell r="BB13">
            <v>1.8241748318056623</v>
          </cell>
          <cell r="BC13">
            <v>1.914179442982854</v>
          </cell>
          <cell r="BD13">
            <v>2.0282126660741553</v>
          </cell>
          <cell r="BE13">
            <v>2.1805604865032011</v>
          </cell>
          <cell r="BF13">
            <v>2.3629391646802778</v>
          </cell>
          <cell r="BG13">
            <v>2.5947548883328704</v>
          </cell>
          <cell r="BH13">
            <v>2.8682025930416941</v>
          </cell>
          <cell r="BI13">
            <v>3.1895529223867629</v>
          </cell>
          <cell r="BJ13">
            <v>3.5513885929398392</v>
          </cell>
          <cell r="BK13">
            <v>3.9462997467870622</v>
          </cell>
          <cell r="BL13">
            <v>4.3571618133127457</v>
          </cell>
          <cell r="BM13">
            <v>4.7759009695713157</v>
          </cell>
          <cell r="BN13">
            <v>5.2039103386985293</v>
          </cell>
          <cell r="BO13">
            <v>5.5976588879717868</v>
          </cell>
          <cell r="BP13">
            <v>5.9815075529850468</v>
          </cell>
          <cell r="BQ13">
            <v>6.3452822414503514</v>
          </cell>
          <cell r="BR13">
            <v>6.7039983253087714</v>
          </cell>
          <cell r="BS13">
            <v>7.2227914465542717</v>
          </cell>
          <cell r="BT13">
            <v>7.6591592812423785</v>
          </cell>
          <cell r="BU13">
            <v>8.1623630510769409</v>
          </cell>
          <cell r="BV13">
            <v>8.7893489789010495</v>
          </cell>
          <cell r="BW13">
            <v>9.5521010584604724</v>
          </cell>
          <cell r="BX13">
            <v>10.577633328408922</v>
          </cell>
          <cell r="BY13">
            <v>11.878603945371776</v>
          </cell>
          <cell r="BZ13">
            <v>13.51203415541967</v>
          </cell>
          <cell r="CA13">
            <v>15.518832041176376</v>
          </cell>
          <cell r="CB13">
            <v>17.957094264641498</v>
          </cell>
          <cell r="CC13">
            <v>20.95204513399154</v>
          </cell>
          <cell r="CD13">
            <v>24.997674375337215</v>
          </cell>
          <cell r="CE13">
            <v>30.307600714427469</v>
          </cell>
          <cell r="CF13">
            <v>36.425319934724726</v>
          </cell>
          <cell r="CG13">
            <v>41.690486877229461</v>
          </cell>
          <cell r="CH13">
            <v>47.944302328647915</v>
          </cell>
          <cell r="CI13">
            <v>54.737220590879133</v>
          </cell>
          <cell r="CJ13">
            <v>62.012705245252896</v>
          </cell>
          <cell r="CK13">
            <v>70.744833819481542</v>
          </cell>
          <cell r="CL13">
            <v>81.094030744659619</v>
          </cell>
          <cell r="CM13">
            <v>92.800801302115943</v>
          </cell>
          <cell r="CN13">
            <v>106.19497880665145</v>
          </cell>
          <cell r="CO13">
            <v>120.96326711796692</v>
          </cell>
          <cell r="CP13">
            <v>136.04836143811644</v>
          </cell>
          <cell r="CQ13">
            <v>152.74831243973</v>
          </cell>
          <cell r="CR13">
            <v>171.13884555382216</v>
          </cell>
          <cell r="CS13">
            <v>191.41104294478529</v>
          </cell>
          <cell r="CT13">
            <v>213.33333333333337</v>
          </cell>
          <cell r="CU13">
            <v>237.53501400560228</v>
          </cell>
          <cell r="CV13">
            <v>264.82758620689657</v>
          </cell>
          <cell r="CW13">
            <v>293.87755102040819</v>
          </cell>
          <cell r="CX13">
            <v>338.46153846153851</v>
          </cell>
          <cell r="CY13">
            <v>400</v>
          </cell>
        </row>
        <row r="14">
          <cell r="B14" t="str">
            <v>AUXILIO FUNERARIO POR MUERTE ACCIDENTAL</v>
          </cell>
          <cell r="C14">
            <v>0.46200000000000008</v>
          </cell>
          <cell r="D14">
            <v>0.46200000000000008</v>
          </cell>
          <cell r="E14">
            <v>0.46200000000000008</v>
          </cell>
          <cell r="F14">
            <v>0.46200000000000008</v>
          </cell>
          <cell r="G14">
            <v>0.46200000000000008</v>
          </cell>
          <cell r="H14">
            <v>0.46200000000000008</v>
          </cell>
          <cell r="I14">
            <v>0.46200000000000008</v>
          </cell>
          <cell r="J14">
            <v>0.46200000000000008</v>
          </cell>
          <cell r="K14">
            <v>0.46200000000000008</v>
          </cell>
          <cell r="L14">
            <v>0.46200000000000008</v>
          </cell>
          <cell r="M14">
            <v>0.46200000000000008</v>
          </cell>
          <cell r="N14">
            <v>0.46200000000000008</v>
          </cell>
          <cell r="O14">
            <v>0.46200000000000008</v>
          </cell>
          <cell r="P14">
            <v>0.46200000000000008</v>
          </cell>
          <cell r="Q14">
            <v>0.46200000000000008</v>
          </cell>
          <cell r="R14">
            <v>0.46200000000000008</v>
          </cell>
          <cell r="S14">
            <v>0.46200000000000008</v>
          </cell>
          <cell r="T14">
            <v>0.46200000000000008</v>
          </cell>
          <cell r="U14">
            <v>0.46200000000000008</v>
          </cell>
          <cell r="V14">
            <v>0.46200000000000008</v>
          </cell>
          <cell r="W14">
            <v>0.46200000000000008</v>
          </cell>
          <cell r="X14">
            <v>0.46200000000000008</v>
          </cell>
          <cell r="Y14">
            <v>0.46200000000000008</v>
          </cell>
          <cell r="Z14">
            <v>0.46200000000000008</v>
          </cell>
          <cell r="AA14">
            <v>0.46200000000000008</v>
          </cell>
          <cell r="AB14">
            <v>0.46200000000000008</v>
          </cell>
          <cell r="AC14">
            <v>0.46200000000000008</v>
          </cell>
          <cell r="AD14">
            <v>0.46200000000000008</v>
          </cell>
          <cell r="AE14">
            <v>0.46200000000000008</v>
          </cell>
          <cell r="AF14">
            <v>0.46200000000000008</v>
          </cell>
          <cell r="AG14">
            <v>0.46200000000000008</v>
          </cell>
          <cell r="AH14">
            <v>0.46200000000000008</v>
          </cell>
          <cell r="AI14">
            <v>0.46200000000000008</v>
          </cell>
          <cell r="AJ14">
            <v>0.46200000000000008</v>
          </cell>
          <cell r="AK14">
            <v>0.46200000000000008</v>
          </cell>
          <cell r="AL14">
            <v>0.46200000000000008</v>
          </cell>
          <cell r="AM14">
            <v>0.46200000000000008</v>
          </cell>
          <cell r="AN14">
            <v>0.46200000000000008</v>
          </cell>
          <cell r="AO14">
            <v>0.46200000000000008</v>
          </cell>
          <cell r="AP14">
            <v>0.46200000000000008</v>
          </cell>
          <cell r="AQ14">
            <v>0.46200000000000008</v>
          </cell>
          <cell r="AR14">
            <v>0.46200000000000008</v>
          </cell>
          <cell r="AS14">
            <v>0.46200000000000008</v>
          </cell>
          <cell r="AT14">
            <v>0.46200000000000008</v>
          </cell>
          <cell r="AU14">
            <v>0.46200000000000008</v>
          </cell>
          <cell r="AV14">
            <v>0.46200000000000008</v>
          </cell>
          <cell r="AW14">
            <v>0.46200000000000008</v>
          </cell>
          <cell r="AX14">
            <v>0.46200000000000008</v>
          </cell>
          <cell r="AY14">
            <v>0.46200000000000008</v>
          </cell>
          <cell r="AZ14">
            <v>0.46200000000000008</v>
          </cell>
          <cell r="BA14">
            <v>0.46200000000000008</v>
          </cell>
          <cell r="BB14">
            <v>0.46200000000000008</v>
          </cell>
          <cell r="BC14">
            <v>0.46200000000000008</v>
          </cell>
          <cell r="BD14">
            <v>0.46200000000000008</v>
          </cell>
          <cell r="BE14">
            <v>0.46200000000000008</v>
          </cell>
          <cell r="BF14">
            <v>0.46200000000000008</v>
          </cell>
          <cell r="BG14">
            <v>0.46200000000000008</v>
          </cell>
          <cell r="BH14">
            <v>0.46200000000000008</v>
          </cell>
          <cell r="BI14">
            <v>0.46200000000000008</v>
          </cell>
          <cell r="BJ14">
            <v>0.46200000000000008</v>
          </cell>
          <cell r="BK14">
            <v>0.46200000000000008</v>
          </cell>
          <cell r="BL14">
            <v>0.46200000000000008</v>
          </cell>
          <cell r="BM14">
            <v>0.46200000000000008</v>
          </cell>
          <cell r="BN14">
            <v>0.46200000000000008</v>
          </cell>
          <cell r="BO14">
            <v>0.46200000000000008</v>
          </cell>
          <cell r="BP14">
            <v>0.46200000000000008</v>
          </cell>
          <cell r="BQ14">
            <v>0.46200000000000008</v>
          </cell>
          <cell r="BR14">
            <v>0.46200000000000008</v>
          </cell>
          <cell r="BS14">
            <v>0.46200000000000008</v>
          </cell>
          <cell r="BT14">
            <v>0.46200000000000008</v>
          </cell>
          <cell r="BU14">
            <v>0.46200000000000008</v>
          </cell>
        </row>
        <row r="15">
          <cell r="B15" t="str">
            <v>AUXILIO CANASTA FAMILIAR POR MUERTE</v>
          </cell>
          <cell r="C15">
            <v>1.2149999999999916</v>
          </cell>
          <cell r="D15">
            <v>1.2149999999999916</v>
          </cell>
          <cell r="E15">
            <v>1.2149999999999916</v>
          </cell>
          <cell r="F15">
            <v>1.2149999999999916</v>
          </cell>
          <cell r="G15">
            <v>1.2149999999999916</v>
          </cell>
          <cell r="H15">
            <v>1.2149999999999916</v>
          </cell>
          <cell r="I15">
            <v>1.2149999999999916</v>
          </cell>
          <cell r="J15">
            <v>1.2149999999999916</v>
          </cell>
          <cell r="K15">
            <v>1.2149999999999916</v>
          </cell>
          <cell r="L15">
            <v>1.2149999999999916</v>
          </cell>
          <cell r="M15">
            <v>1.2149999999999916</v>
          </cell>
          <cell r="N15">
            <v>1.2149999999999916</v>
          </cell>
          <cell r="O15">
            <v>1.2149999999999916</v>
          </cell>
          <cell r="P15">
            <v>1.2149999999999916</v>
          </cell>
          <cell r="Q15">
            <v>1.2149999999999916</v>
          </cell>
          <cell r="R15">
            <v>1.2149999999999916</v>
          </cell>
          <cell r="S15">
            <v>1.2149999999999916</v>
          </cell>
          <cell r="T15">
            <v>1.2149999999999916</v>
          </cell>
          <cell r="U15">
            <v>1.2149999999999916</v>
          </cell>
          <cell r="V15">
            <v>1.2150000000000067</v>
          </cell>
          <cell r="W15">
            <v>1.2149999999999999</v>
          </cell>
          <cell r="X15">
            <v>1.2336336502838461</v>
          </cell>
          <cell r="Y15">
            <v>1.2549034008330024</v>
          </cell>
          <cell r="Z15">
            <v>1.2738115741835121</v>
          </cell>
          <cell r="AA15">
            <v>1.2928382088962076</v>
          </cell>
          <cell r="AB15">
            <v>1.3043825741274109</v>
          </cell>
          <cell r="AC15">
            <v>1.3210645434186523</v>
          </cell>
          <cell r="AD15">
            <v>1.3327592457605</v>
          </cell>
          <cell r="AE15">
            <v>1.3470467781465878</v>
          </cell>
          <cell r="AF15">
            <v>1.3588787626844279</v>
          </cell>
          <cell r="AG15">
            <v>1.3707201485706999</v>
          </cell>
          <cell r="AH15">
            <v>1.3852169338285834</v>
          </cell>
          <cell r="AI15">
            <v>1.399796244562665</v>
          </cell>
          <cell r="AJ15">
            <v>1.4143860535694039</v>
          </cell>
          <cell r="AK15">
            <v>1.4343148543258701</v>
          </cell>
          <cell r="AL15">
            <v>1.4517327641736244</v>
          </cell>
          <cell r="AM15">
            <v>1.4666019914772839</v>
          </cell>
          <cell r="AN15">
            <v>1.4842144897298675</v>
          </cell>
          <cell r="AO15">
            <v>1.5019388211688123</v>
          </cell>
          <cell r="AP15">
            <v>1.5223585878560546</v>
          </cell>
          <cell r="AQ15">
            <v>1.5481960946221853</v>
          </cell>
          <cell r="AR15">
            <v>1.5716302689600372</v>
          </cell>
          <cell r="AS15">
            <v>1.597838951884857</v>
          </cell>
          <cell r="AT15">
            <v>1.6112657606025871</v>
          </cell>
          <cell r="AU15">
            <v>1.6265509228813189</v>
          </cell>
          <cell r="AV15">
            <v>1.6375942332031035</v>
          </cell>
          <cell r="AW15">
            <v>1.6531665432685401</v>
          </cell>
          <cell r="AX15">
            <v>1.668904448562456</v>
          </cell>
          <cell r="AY15">
            <v>1.6892682437627446</v>
          </cell>
          <cell r="AZ15">
            <v>1.7188129448099905</v>
          </cell>
          <cell r="BA15">
            <v>1.76219375140481</v>
          </cell>
          <cell r="BB15">
            <v>1.8241748318056623</v>
          </cell>
          <cell r="BC15">
            <v>1.914179442982854</v>
          </cell>
          <cell r="BD15">
            <v>2.0282126660741553</v>
          </cell>
          <cell r="BE15">
            <v>2.1805604865032011</v>
          </cell>
          <cell r="BF15">
            <v>2.3629391646802778</v>
          </cell>
          <cell r="BG15">
            <v>2.5947548883328704</v>
          </cell>
          <cell r="BH15">
            <v>2.8682025930416941</v>
          </cell>
          <cell r="BI15">
            <v>3.1895529223867629</v>
          </cell>
          <cell r="BJ15">
            <v>3.5513885929398392</v>
          </cell>
          <cell r="BK15">
            <v>3.9462997467870622</v>
          </cell>
          <cell r="BL15">
            <v>4.3571618133127457</v>
          </cell>
          <cell r="BM15">
            <v>4.7759009695713157</v>
          </cell>
          <cell r="BN15">
            <v>5.2039103386985293</v>
          </cell>
          <cell r="BO15">
            <v>5.5976588879717868</v>
          </cell>
          <cell r="BP15">
            <v>5.9815075529850468</v>
          </cell>
          <cell r="BQ15">
            <v>6.3452822414503514</v>
          </cell>
          <cell r="BR15">
            <v>6.7039983253087714</v>
          </cell>
          <cell r="BS15">
            <v>7.2227914465542717</v>
          </cell>
          <cell r="BT15">
            <v>7.6591592812423785</v>
          </cell>
          <cell r="BU15">
            <v>8.1623630510769409</v>
          </cell>
          <cell r="BV15">
            <v>8.7893489789010495</v>
          </cell>
          <cell r="BW15">
            <v>9.5521010584604724</v>
          </cell>
          <cell r="BX15">
            <v>10.577633328408922</v>
          </cell>
          <cell r="BY15">
            <v>11.878603945371776</v>
          </cell>
          <cell r="BZ15">
            <v>13.51203415541967</v>
          </cell>
          <cell r="CA15">
            <v>15.518832041176376</v>
          </cell>
          <cell r="CB15">
            <v>17.957094264641498</v>
          </cell>
          <cell r="CC15">
            <v>20.95204513399154</v>
          </cell>
          <cell r="CD15">
            <v>24.997674375337215</v>
          </cell>
          <cell r="CE15">
            <v>30.307600714427469</v>
          </cell>
          <cell r="CF15">
            <v>36.425319934724726</v>
          </cell>
          <cell r="CG15">
            <v>41.690486877229461</v>
          </cell>
          <cell r="CH15">
            <v>47.944302328647915</v>
          </cell>
          <cell r="CI15">
            <v>54.737220590879133</v>
          </cell>
          <cell r="CJ15">
            <v>62.012705245252896</v>
          </cell>
          <cell r="CK15">
            <v>70.744833819481542</v>
          </cell>
          <cell r="CL15">
            <v>81.094030744659619</v>
          </cell>
          <cell r="CM15">
            <v>92.800801302115943</v>
          </cell>
          <cell r="CN15">
            <v>106.19497880665145</v>
          </cell>
          <cell r="CO15">
            <v>120.96326711796692</v>
          </cell>
          <cell r="CP15">
            <v>136.04836143811644</v>
          </cell>
          <cell r="CQ15">
            <v>152.74831243973</v>
          </cell>
          <cell r="CR15">
            <v>171.13884555382216</v>
          </cell>
          <cell r="CS15">
            <v>191.41104294478529</v>
          </cell>
          <cell r="CT15">
            <v>213.33333333333337</v>
          </cell>
          <cell r="CU15">
            <v>237.53501400560228</v>
          </cell>
          <cell r="CV15">
            <v>264.82758620689657</v>
          </cell>
          <cell r="CW15">
            <v>293.87755102040819</v>
          </cell>
          <cell r="CX15">
            <v>338.46153846153851</v>
          </cell>
          <cell r="CY15">
            <v>400</v>
          </cell>
        </row>
        <row r="16">
          <cell r="B16" t="str">
            <v>AUXILIO CANASTA FAMILIAR POR MUERTE ACCIDENTAL</v>
          </cell>
          <cell r="C16">
            <v>0.46200000000000008</v>
          </cell>
          <cell r="D16">
            <v>0.46200000000000008</v>
          </cell>
          <cell r="E16">
            <v>0.46200000000000008</v>
          </cell>
          <cell r="F16">
            <v>0.46200000000000008</v>
          </cell>
          <cell r="G16">
            <v>0.46200000000000008</v>
          </cell>
          <cell r="H16">
            <v>0.46200000000000008</v>
          </cell>
          <cell r="I16">
            <v>0.46200000000000008</v>
          </cell>
          <cell r="J16">
            <v>0.46200000000000008</v>
          </cell>
          <cell r="K16">
            <v>0.46200000000000008</v>
          </cell>
          <cell r="L16">
            <v>0.46200000000000008</v>
          </cell>
          <cell r="M16">
            <v>0.46200000000000008</v>
          </cell>
          <cell r="N16">
            <v>0.46200000000000008</v>
          </cell>
          <cell r="O16">
            <v>0.46200000000000008</v>
          </cell>
          <cell r="P16">
            <v>0.46200000000000008</v>
          </cell>
          <cell r="Q16">
            <v>0.46200000000000008</v>
          </cell>
          <cell r="R16">
            <v>0.46200000000000008</v>
          </cell>
          <cell r="S16">
            <v>0.46200000000000008</v>
          </cell>
          <cell r="T16">
            <v>0.46200000000000008</v>
          </cell>
          <cell r="U16">
            <v>0.46200000000000008</v>
          </cell>
          <cell r="V16">
            <v>0.46200000000000008</v>
          </cell>
          <cell r="W16">
            <v>0.46200000000000008</v>
          </cell>
          <cell r="X16">
            <v>0.46200000000000008</v>
          </cell>
          <cell r="Y16">
            <v>0.46200000000000008</v>
          </cell>
          <cell r="Z16">
            <v>0.46200000000000008</v>
          </cell>
          <cell r="AA16">
            <v>0.46200000000000008</v>
          </cell>
          <cell r="AB16">
            <v>0.46200000000000008</v>
          </cell>
          <cell r="AC16">
            <v>0.46200000000000008</v>
          </cell>
          <cell r="AD16">
            <v>0.46200000000000008</v>
          </cell>
          <cell r="AE16">
            <v>0.46200000000000008</v>
          </cell>
          <cell r="AF16">
            <v>0.46200000000000008</v>
          </cell>
          <cell r="AG16">
            <v>0.46200000000000008</v>
          </cell>
          <cell r="AH16">
            <v>0.46200000000000008</v>
          </cell>
          <cell r="AI16">
            <v>0.46200000000000008</v>
          </cell>
          <cell r="AJ16">
            <v>0.46200000000000008</v>
          </cell>
          <cell r="AK16">
            <v>0.46200000000000008</v>
          </cell>
          <cell r="AL16">
            <v>0.46200000000000008</v>
          </cell>
          <cell r="AM16">
            <v>0.46200000000000008</v>
          </cell>
          <cell r="AN16">
            <v>0.46200000000000008</v>
          </cell>
          <cell r="AO16">
            <v>0.46200000000000008</v>
          </cell>
          <cell r="AP16">
            <v>0.46200000000000008</v>
          </cell>
          <cell r="AQ16">
            <v>0.46200000000000008</v>
          </cell>
          <cell r="AR16">
            <v>0.46200000000000008</v>
          </cell>
          <cell r="AS16">
            <v>0.46200000000000008</v>
          </cell>
          <cell r="AT16">
            <v>0.46200000000000008</v>
          </cell>
          <cell r="AU16">
            <v>0.46200000000000008</v>
          </cell>
          <cell r="AV16">
            <v>0.46200000000000008</v>
          </cell>
          <cell r="AW16">
            <v>0.46200000000000008</v>
          </cell>
          <cell r="AX16">
            <v>0.46200000000000008</v>
          </cell>
          <cell r="AY16">
            <v>0.46200000000000008</v>
          </cell>
          <cell r="AZ16">
            <v>0.46200000000000008</v>
          </cell>
          <cell r="BA16">
            <v>0.46200000000000008</v>
          </cell>
          <cell r="BB16">
            <v>0.46200000000000008</v>
          </cell>
          <cell r="BC16">
            <v>0.46200000000000008</v>
          </cell>
          <cell r="BD16">
            <v>0.46200000000000008</v>
          </cell>
          <cell r="BE16">
            <v>0.46200000000000008</v>
          </cell>
          <cell r="BF16">
            <v>0.46200000000000008</v>
          </cell>
          <cell r="BG16">
            <v>0.46200000000000008</v>
          </cell>
          <cell r="BH16">
            <v>0.46200000000000008</v>
          </cell>
          <cell r="BI16">
            <v>0.46200000000000008</v>
          </cell>
          <cell r="BJ16">
            <v>0.46200000000000008</v>
          </cell>
          <cell r="BK16">
            <v>0.46200000000000008</v>
          </cell>
          <cell r="BL16">
            <v>0.46200000000000008</v>
          </cell>
          <cell r="BM16">
            <v>0.46200000000000008</v>
          </cell>
          <cell r="BN16">
            <v>0.46200000000000008</v>
          </cell>
          <cell r="BO16">
            <v>0.46200000000000008</v>
          </cell>
          <cell r="BP16">
            <v>0.46200000000000008</v>
          </cell>
          <cell r="BQ16">
            <v>0.46200000000000008</v>
          </cell>
          <cell r="BR16">
            <v>0.46200000000000008</v>
          </cell>
          <cell r="BS16">
            <v>0.46200000000000008</v>
          </cell>
          <cell r="BT16">
            <v>0.46200000000000008</v>
          </cell>
          <cell r="BU16">
            <v>0.46200000000000008</v>
          </cell>
        </row>
        <row r="17">
          <cell r="B17" t="str">
            <v>AUXILIO CANASTA FAMILIAR POR ITP</v>
          </cell>
          <cell r="C17">
            <v>0.128</v>
          </cell>
          <cell r="D17">
            <v>0.128</v>
          </cell>
          <cell r="E17">
            <v>0.128</v>
          </cell>
          <cell r="F17">
            <v>0.128</v>
          </cell>
          <cell r="G17">
            <v>0.128</v>
          </cell>
          <cell r="H17">
            <v>0.128</v>
          </cell>
          <cell r="I17">
            <v>0.128</v>
          </cell>
          <cell r="J17">
            <v>0.128</v>
          </cell>
          <cell r="K17">
            <v>0.128</v>
          </cell>
          <cell r="L17">
            <v>0.128</v>
          </cell>
          <cell r="M17">
            <v>0.128</v>
          </cell>
          <cell r="N17">
            <v>0.128</v>
          </cell>
          <cell r="O17">
            <v>0.128</v>
          </cell>
          <cell r="P17">
            <v>0.128</v>
          </cell>
          <cell r="Q17">
            <v>0.128</v>
          </cell>
          <cell r="R17">
            <v>0.128</v>
          </cell>
          <cell r="S17">
            <v>0.128</v>
          </cell>
          <cell r="T17">
            <v>0.128</v>
          </cell>
          <cell r="U17">
            <v>0.128</v>
          </cell>
          <cell r="V17">
            <v>0.128</v>
          </cell>
          <cell r="W17">
            <v>0.128</v>
          </cell>
          <cell r="X17">
            <v>0.12</v>
          </cell>
          <cell r="Y17">
            <v>0.11200000000000002</v>
          </cell>
          <cell r="Z17">
            <v>0.10400000000000001</v>
          </cell>
          <cell r="AA17">
            <v>9.6000000000000002E-2</v>
          </cell>
          <cell r="AB17">
            <v>9.6000000000000002E-2</v>
          </cell>
          <cell r="AC17">
            <v>9.6000000000000002E-2</v>
          </cell>
          <cell r="AD17">
            <v>8.8000000000000009E-2</v>
          </cell>
          <cell r="AE17">
            <v>8.8000000000000009E-2</v>
          </cell>
          <cell r="AF17">
            <v>9.6000000000000002E-2</v>
          </cell>
          <cell r="AG17">
            <v>9.6000000000000002E-2</v>
          </cell>
          <cell r="AH17">
            <v>9.6000000000000002E-2</v>
          </cell>
          <cell r="AI17">
            <v>0.10400000000000001</v>
          </cell>
          <cell r="AJ17">
            <v>0.11200000000000002</v>
          </cell>
          <cell r="AK17">
            <v>0.12</v>
          </cell>
          <cell r="AL17">
            <v>0.128</v>
          </cell>
          <cell r="AM17">
            <v>0.13600000000000001</v>
          </cell>
          <cell r="AN17">
            <v>0.14399999999999999</v>
          </cell>
          <cell r="AO17">
            <v>0.16000000000000003</v>
          </cell>
          <cell r="AP17">
            <v>0.17600000000000002</v>
          </cell>
          <cell r="AQ17">
            <v>0.18400000000000002</v>
          </cell>
          <cell r="AR17">
            <v>0.2</v>
          </cell>
          <cell r="AS17">
            <v>0.22400000000000003</v>
          </cell>
          <cell r="AT17">
            <v>0.24</v>
          </cell>
          <cell r="AU17">
            <v>0.25600000000000001</v>
          </cell>
          <cell r="AV17">
            <v>0.27999999999999997</v>
          </cell>
          <cell r="AW17">
            <v>0.30400000000000005</v>
          </cell>
          <cell r="AX17">
            <v>0.32800000000000001</v>
          </cell>
          <cell r="AY17">
            <v>0.35200000000000004</v>
          </cell>
          <cell r="AZ17">
            <v>0.376</v>
          </cell>
          <cell r="BA17">
            <v>0.40800000000000003</v>
          </cell>
          <cell r="BB17">
            <v>0.43200000000000005</v>
          </cell>
          <cell r="BC17">
            <v>0.46399999999999997</v>
          </cell>
          <cell r="BD17">
            <v>0.496</v>
          </cell>
          <cell r="BE17">
            <v>0.52800000000000002</v>
          </cell>
          <cell r="BF17">
            <v>0.55999999999999994</v>
          </cell>
          <cell r="BG17">
            <v>0.59199999999999997</v>
          </cell>
          <cell r="BH17">
            <v>0.63200000000000012</v>
          </cell>
          <cell r="BI17">
            <v>0.67200000000000004</v>
          </cell>
          <cell r="BJ17">
            <v>0.70400000000000007</v>
          </cell>
          <cell r="BK17">
            <v>0.74400000000000011</v>
          </cell>
          <cell r="BL17">
            <v>0.79200000000000004</v>
          </cell>
          <cell r="BM17">
            <v>0.83200000000000007</v>
          </cell>
          <cell r="BN17">
            <v>0.872</v>
          </cell>
          <cell r="BO17">
            <v>0.91999999999999993</v>
          </cell>
          <cell r="BP17">
            <v>0.96799999999999997</v>
          </cell>
          <cell r="BQ17">
            <v>1.016</v>
          </cell>
          <cell r="BR17">
            <v>1.0640000000000001</v>
          </cell>
          <cell r="BS17">
            <v>1.1119999999999999</v>
          </cell>
          <cell r="BT17">
            <v>1.1599999999999999</v>
          </cell>
          <cell r="BU17">
            <v>1.2160000000000002</v>
          </cell>
          <cell r="BV17">
            <v>1.2160000000000002</v>
          </cell>
          <cell r="BW17">
            <v>1.2160000000000002</v>
          </cell>
          <cell r="BX17">
            <v>1.2160000000000002</v>
          </cell>
          <cell r="BY17">
            <v>1.2160000000000002</v>
          </cell>
          <cell r="BZ17">
            <v>1.2160000000000002</v>
          </cell>
        </row>
        <row r="18">
          <cell r="B18" t="str">
            <v>ASISTENCIA EXEQUIAL</v>
          </cell>
          <cell r="C18">
            <v>1.2149999999999916</v>
          </cell>
          <cell r="D18">
            <v>1.2149999999999916</v>
          </cell>
          <cell r="E18">
            <v>1.2149999999999916</v>
          </cell>
          <cell r="F18">
            <v>1.2149999999999916</v>
          </cell>
          <cell r="G18">
            <v>1.2149999999999916</v>
          </cell>
          <cell r="H18">
            <v>1.2149999999999916</v>
          </cell>
          <cell r="I18">
            <v>1.2149999999999916</v>
          </cell>
          <cell r="J18">
            <v>1.2149999999999916</v>
          </cell>
          <cell r="K18">
            <v>1.2149999999999916</v>
          </cell>
          <cell r="L18">
            <v>1.2149999999999916</v>
          </cell>
          <cell r="M18">
            <v>1.2149999999999916</v>
          </cell>
          <cell r="N18">
            <v>1.2149999999999916</v>
          </cell>
          <cell r="O18">
            <v>1.2149999999999916</v>
          </cell>
          <cell r="P18">
            <v>1.2149999999999916</v>
          </cell>
          <cell r="Q18">
            <v>1.2149999999999916</v>
          </cell>
          <cell r="R18">
            <v>1.2149999999999916</v>
          </cell>
          <cell r="S18">
            <v>1.2149999999999916</v>
          </cell>
          <cell r="T18">
            <v>1.2149999999999916</v>
          </cell>
          <cell r="U18">
            <v>1.2149999999999916</v>
          </cell>
          <cell r="V18">
            <v>1.2149999999999916</v>
          </cell>
          <cell r="W18">
            <v>1.2149999999999916</v>
          </cell>
          <cell r="X18">
            <v>1.2149999999999916</v>
          </cell>
          <cell r="Y18">
            <v>1.2149999999999916</v>
          </cell>
          <cell r="Z18">
            <v>1.2149999999999916</v>
          </cell>
          <cell r="AA18">
            <v>1.2149999999999916</v>
          </cell>
          <cell r="AB18">
            <v>1.2149999999999916</v>
          </cell>
          <cell r="AC18">
            <v>1.2149999999999916</v>
          </cell>
          <cell r="AD18">
            <v>1.2149999999999916</v>
          </cell>
          <cell r="AE18">
            <v>1.2149999999999916</v>
          </cell>
          <cell r="AF18">
            <v>1.2149999999999916</v>
          </cell>
          <cell r="AG18">
            <v>1.2149999999999916</v>
          </cell>
          <cell r="AH18">
            <v>1.2149999999999916</v>
          </cell>
          <cell r="AI18">
            <v>1.2149999999999916</v>
          </cell>
          <cell r="AJ18">
            <v>1.2149999999999916</v>
          </cell>
          <cell r="AK18">
            <v>1.2149999999999916</v>
          </cell>
          <cell r="AL18">
            <v>1.2149999999999916</v>
          </cell>
          <cell r="AM18">
            <v>1.2149999999999916</v>
          </cell>
          <cell r="AN18">
            <v>1.2149999999999916</v>
          </cell>
          <cell r="AO18">
            <v>1.2149999999999916</v>
          </cell>
          <cell r="AP18">
            <v>1.2149999999999916</v>
          </cell>
          <cell r="AQ18">
            <v>1.2149999999999916</v>
          </cell>
          <cell r="AR18">
            <v>1.2149999999999916</v>
          </cell>
          <cell r="AS18">
            <v>1.2149999999999916</v>
          </cell>
          <cell r="AT18">
            <v>1.2149999999999916</v>
          </cell>
          <cell r="AU18">
            <v>1.2149999999999916</v>
          </cell>
          <cell r="AV18">
            <v>1.2149999999999916</v>
          </cell>
          <cell r="AW18">
            <v>1.2149999999999916</v>
          </cell>
          <cell r="AX18">
            <v>1.2149999999999916</v>
          </cell>
          <cell r="AY18">
            <v>1.2149999999999916</v>
          </cell>
          <cell r="AZ18">
            <v>1.2149999999999916</v>
          </cell>
          <cell r="BA18">
            <v>1.2149999999999916</v>
          </cell>
          <cell r="BB18">
            <v>1.2149999999999916</v>
          </cell>
          <cell r="BC18">
            <v>1.2149999999999916</v>
          </cell>
          <cell r="BD18">
            <v>1.2149999999999916</v>
          </cell>
          <cell r="BE18">
            <v>1.2149999999999916</v>
          </cell>
          <cell r="BF18">
            <v>1.2149999999999916</v>
          </cell>
          <cell r="BG18">
            <v>1.2149999999999916</v>
          </cell>
          <cell r="BH18">
            <v>1.2149999999999916</v>
          </cell>
          <cell r="BI18">
            <v>1.2149999999999916</v>
          </cell>
          <cell r="BJ18">
            <v>1.2149999999999916</v>
          </cell>
          <cell r="BK18">
            <v>1.2149999999999916</v>
          </cell>
          <cell r="BL18">
            <v>1.2149999999999916</v>
          </cell>
          <cell r="BM18">
            <v>1.2149999999999916</v>
          </cell>
          <cell r="BN18">
            <v>1.2149999999999916</v>
          </cell>
          <cell r="BO18">
            <v>1.2149999999999916</v>
          </cell>
          <cell r="BP18">
            <v>1.2149999999999916</v>
          </cell>
          <cell r="BQ18">
            <v>1.2149999999999916</v>
          </cell>
          <cell r="BR18">
            <v>1.2149999999999916</v>
          </cell>
          <cell r="BS18">
            <v>1.2149999999999916</v>
          </cell>
          <cell r="BT18">
            <v>1.2149999999999916</v>
          </cell>
          <cell r="BU18">
            <v>1.2149999999999916</v>
          </cell>
          <cell r="BV18">
            <v>1.2149999999999916</v>
          </cell>
          <cell r="BW18">
            <v>1.2149999999999916</v>
          </cell>
          <cell r="BX18">
            <v>1.2149999999999916</v>
          </cell>
          <cell r="BY18">
            <v>1.2149999999999916</v>
          </cell>
          <cell r="BZ18">
            <v>1.2149999999999916</v>
          </cell>
        </row>
        <row r="19">
          <cell r="B19" t="str">
            <v>ASISTENCIA MÉDICA DOMICILIARIA</v>
          </cell>
          <cell r="C19">
            <v>45.5</v>
          </cell>
          <cell r="D19">
            <v>45.5</v>
          </cell>
          <cell r="E19">
            <v>45.5</v>
          </cell>
          <cell r="F19">
            <v>45.5</v>
          </cell>
          <cell r="G19">
            <v>45.5</v>
          </cell>
          <cell r="H19">
            <v>45.5</v>
          </cell>
          <cell r="I19">
            <v>45.5</v>
          </cell>
          <cell r="J19">
            <v>45.5</v>
          </cell>
          <cell r="K19">
            <v>45.5</v>
          </cell>
          <cell r="L19">
            <v>45.5</v>
          </cell>
          <cell r="M19">
            <v>45.5</v>
          </cell>
          <cell r="N19">
            <v>45.5</v>
          </cell>
          <cell r="O19">
            <v>45.5</v>
          </cell>
          <cell r="P19">
            <v>45.5</v>
          </cell>
          <cell r="Q19">
            <v>45.5</v>
          </cell>
          <cell r="R19">
            <v>45.5</v>
          </cell>
          <cell r="S19">
            <v>45.5</v>
          </cell>
          <cell r="T19">
            <v>45.5</v>
          </cell>
          <cell r="U19">
            <v>45.5</v>
          </cell>
          <cell r="V19">
            <v>45.5</v>
          </cell>
          <cell r="W19">
            <v>45.5</v>
          </cell>
          <cell r="X19">
            <v>45.5</v>
          </cell>
          <cell r="Y19">
            <v>45.5</v>
          </cell>
          <cell r="Z19">
            <v>45.5</v>
          </cell>
          <cell r="AA19">
            <v>45.5</v>
          </cell>
          <cell r="AB19">
            <v>45.5</v>
          </cell>
          <cell r="AC19">
            <v>45.5</v>
          </cell>
          <cell r="AD19">
            <v>45.5</v>
          </cell>
          <cell r="AE19">
            <v>45.5</v>
          </cell>
          <cell r="AF19">
            <v>45.5</v>
          </cell>
          <cell r="AG19">
            <v>45.5</v>
          </cell>
          <cell r="AH19">
            <v>45.5</v>
          </cell>
          <cell r="AI19">
            <v>45.5</v>
          </cell>
          <cell r="AJ19">
            <v>45.5</v>
          </cell>
          <cell r="AK19">
            <v>45.5</v>
          </cell>
          <cell r="AL19">
            <v>45.5</v>
          </cell>
          <cell r="AM19">
            <v>45.5</v>
          </cell>
          <cell r="AN19">
            <v>45.5</v>
          </cell>
          <cell r="AO19">
            <v>45.5</v>
          </cell>
          <cell r="AP19">
            <v>45.5</v>
          </cell>
          <cell r="AQ19">
            <v>45.5</v>
          </cell>
          <cell r="AR19">
            <v>45.5</v>
          </cell>
          <cell r="AS19">
            <v>45.5</v>
          </cell>
          <cell r="AT19">
            <v>45.5</v>
          </cell>
          <cell r="AU19">
            <v>45.5</v>
          </cell>
          <cell r="AV19">
            <v>45.5</v>
          </cell>
          <cell r="AW19">
            <v>45.5</v>
          </cell>
          <cell r="AX19">
            <v>45.5</v>
          </cell>
          <cell r="AY19">
            <v>45.5</v>
          </cell>
          <cell r="AZ19">
            <v>45.5</v>
          </cell>
          <cell r="BA19">
            <v>45.5</v>
          </cell>
          <cell r="BB19">
            <v>45.5</v>
          </cell>
          <cell r="BC19">
            <v>45.5</v>
          </cell>
          <cell r="BD19">
            <v>45.5</v>
          </cell>
          <cell r="BE19">
            <v>45.5</v>
          </cell>
          <cell r="BF19">
            <v>45.5</v>
          </cell>
          <cell r="BG19">
            <v>45.5</v>
          </cell>
          <cell r="BH19">
            <v>45.5</v>
          </cell>
          <cell r="BI19">
            <v>45.5</v>
          </cell>
          <cell r="BJ19">
            <v>45.5</v>
          </cell>
          <cell r="BK19">
            <v>45.5</v>
          </cell>
          <cell r="BL19">
            <v>45.5</v>
          </cell>
          <cell r="BM19">
            <v>45.5</v>
          </cell>
          <cell r="BN19">
            <v>45.5</v>
          </cell>
          <cell r="BO19">
            <v>45.5</v>
          </cell>
          <cell r="BP19">
            <v>45.5</v>
          </cell>
          <cell r="BQ19">
            <v>45.5</v>
          </cell>
          <cell r="BR19">
            <v>45.5</v>
          </cell>
          <cell r="BS19">
            <v>45.5</v>
          </cell>
          <cell r="BT19">
            <v>45.5</v>
          </cell>
          <cell r="BU19">
            <v>45.5</v>
          </cell>
          <cell r="BV19">
            <v>45.5</v>
          </cell>
          <cell r="BW19">
            <v>45.5</v>
          </cell>
          <cell r="BX19">
            <v>45.5</v>
          </cell>
          <cell r="BY19">
            <v>45.5</v>
          </cell>
          <cell r="BZ19">
            <v>45.5</v>
          </cell>
        </row>
        <row r="20">
          <cell r="B20" t="str">
            <v>ASISTENCIA ODONTOLÓGICA</v>
          </cell>
          <cell r="C20">
            <v>5100</v>
          </cell>
          <cell r="D20">
            <v>5100</v>
          </cell>
          <cell r="E20">
            <v>5100</v>
          </cell>
          <cell r="F20">
            <v>5100</v>
          </cell>
          <cell r="G20">
            <v>5100</v>
          </cell>
          <cell r="H20">
            <v>5100</v>
          </cell>
          <cell r="I20">
            <v>5100</v>
          </cell>
          <cell r="J20">
            <v>5100</v>
          </cell>
          <cell r="K20">
            <v>5100</v>
          </cell>
          <cell r="L20">
            <v>5100</v>
          </cell>
          <cell r="M20">
            <v>5100</v>
          </cell>
          <cell r="N20">
            <v>5100</v>
          </cell>
          <cell r="O20">
            <v>5100</v>
          </cell>
          <cell r="P20">
            <v>5100</v>
          </cell>
          <cell r="Q20">
            <v>5100</v>
          </cell>
          <cell r="R20">
            <v>5100</v>
          </cell>
          <cell r="S20">
            <v>5100</v>
          </cell>
          <cell r="T20">
            <v>5100</v>
          </cell>
          <cell r="U20">
            <v>5100</v>
          </cell>
          <cell r="V20">
            <v>5100</v>
          </cell>
          <cell r="W20">
            <v>5100</v>
          </cell>
          <cell r="X20">
            <v>5100</v>
          </cell>
          <cell r="Y20">
            <v>5100</v>
          </cell>
          <cell r="Z20">
            <v>5100</v>
          </cell>
          <cell r="AA20">
            <v>5100</v>
          </cell>
          <cell r="AB20">
            <v>5100</v>
          </cell>
          <cell r="AC20">
            <v>5100</v>
          </cell>
          <cell r="AD20">
            <v>5100</v>
          </cell>
          <cell r="AE20">
            <v>5100</v>
          </cell>
          <cell r="AF20">
            <v>5100</v>
          </cell>
          <cell r="AG20">
            <v>5100</v>
          </cell>
          <cell r="AH20">
            <v>5100</v>
          </cell>
          <cell r="AI20">
            <v>5100</v>
          </cell>
          <cell r="AJ20">
            <v>5100</v>
          </cell>
          <cell r="AK20">
            <v>5100</v>
          </cell>
          <cell r="AL20">
            <v>5100</v>
          </cell>
          <cell r="AM20">
            <v>5100</v>
          </cell>
          <cell r="AN20">
            <v>5100</v>
          </cell>
          <cell r="AO20">
            <v>5100</v>
          </cell>
          <cell r="AP20">
            <v>5100</v>
          </cell>
          <cell r="AQ20">
            <v>5100</v>
          </cell>
          <cell r="AR20">
            <v>5100</v>
          </cell>
          <cell r="AS20">
            <v>5100</v>
          </cell>
          <cell r="AT20">
            <v>5100</v>
          </cell>
          <cell r="AU20">
            <v>5100</v>
          </cell>
          <cell r="AV20">
            <v>5100</v>
          </cell>
          <cell r="AW20">
            <v>5100</v>
          </cell>
          <cell r="AX20">
            <v>5100</v>
          </cell>
          <cell r="AY20">
            <v>5100</v>
          </cell>
          <cell r="AZ20">
            <v>5100</v>
          </cell>
          <cell r="BA20">
            <v>5100</v>
          </cell>
          <cell r="BB20">
            <v>5100</v>
          </cell>
          <cell r="BC20">
            <v>5100</v>
          </cell>
          <cell r="BD20">
            <v>5100</v>
          </cell>
          <cell r="BE20">
            <v>5100</v>
          </cell>
          <cell r="BF20">
            <v>5100</v>
          </cell>
          <cell r="BG20">
            <v>5100</v>
          </cell>
          <cell r="BH20">
            <v>5100</v>
          </cell>
          <cell r="BI20">
            <v>5100</v>
          </cell>
          <cell r="BJ20">
            <v>5100</v>
          </cell>
          <cell r="BK20">
            <v>5100</v>
          </cell>
          <cell r="BL20">
            <v>5100</v>
          </cell>
          <cell r="BM20">
            <v>5100</v>
          </cell>
          <cell r="BN20">
            <v>5100</v>
          </cell>
          <cell r="BO20">
            <v>5100</v>
          </cell>
          <cell r="BP20">
            <v>5100</v>
          </cell>
          <cell r="BQ20">
            <v>5100</v>
          </cell>
          <cell r="BR20">
            <v>5100</v>
          </cell>
          <cell r="BS20">
            <v>5100</v>
          </cell>
          <cell r="BT20">
            <v>5100</v>
          </cell>
          <cell r="BU20">
            <v>5100</v>
          </cell>
          <cell r="BV20">
            <v>5100</v>
          </cell>
          <cell r="BW20">
            <v>5100</v>
          </cell>
          <cell r="BX20">
            <v>5100</v>
          </cell>
          <cell r="BY20">
            <v>5100</v>
          </cell>
          <cell r="BZ20">
            <v>5100</v>
          </cell>
        </row>
        <row r="21">
          <cell r="B21" t="str">
            <v>ASISTENCIA OFTALMOLÓGICA</v>
          </cell>
          <cell r="C21">
            <v>3000</v>
          </cell>
          <cell r="D21">
            <v>3000</v>
          </cell>
          <cell r="E21">
            <v>3000</v>
          </cell>
          <cell r="F21">
            <v>3000</v>
          </cell>
          <cell r="G21">
            <v>3000</v>
          </cell>
          <cell r="H21">
            <v>3000</v>
          </cell>
          <cell r="I21">
            <v>3000</v>
          </cell>
          <cell r="J21">
            <v>3000</v>
          </cell>
          <cell r="K21">
            <v>3000</v>
          </cell>
          <cell r="L21">
            <v>3000</v>
          </cell>
          <cell r="M21">
            <v>3000</v>
          </cell>
          <cell r="N21">
            <v>3000</v>
          </cell>
          <cell r="O21">
            <v>3000</v>
          </cell>
          <cell r="P21">
            <v>3000</v>
          </cell>
          <cell r="Q21">
            <v>3000</v>
          </cell>
          <cell r="R21">
            <v>3000</v>
          </cell>
          <cell r="S21">
            <v>3000</v>
          </cell>
          <cell r="T21">
            <v>3000</v>
          </cell>
          <cell r="U21">
            <v>3000</v>
          </cell>
          <cell r="V21">
            <v>3000</v>
          </cell>
          <cell r="W21">
            <v>3000</v>
          </cell>
          <cell r="X21">
            <v>3000</v>
          </cell>
          <cell r="Y21">
            <v>3000</v>
          </cell>
          <cell r="Z21">
            <v>3000</v>
          </cell>
          <cell r="AA21">
            <v>3000</v>
          </cell>
          <cell r="AB21">
            <v>3000</v>
          </cell>
          <cell r="AC21">
            <v>3000</v>
          </cell>
          <cell r="AD21">
            <v>3000</v>
          </cell>
          <cell r="AE21">
            <v>3000</v>
          </cell>
          <cell r="AF21">
            <v>3000</v>
          </cell>
          <cell r="AG21">
            <v>3000</v>
          </cell>
          <cell r="AH21">
            <v>3000</v>
          </cell>
          <cell r="AI21">
            <v>3000</v>
          </cell>
          <cell r="AJ21">
            <v>3000</v>
          </cell>
          <cell r="AK21">
            <v>3000</v>
          </cell>
          <cell r="AL21">
            <v>3000</v>
          </cell>
          <cell r="AM21">
            <v>3000</v>
          </cell>
          <cell r="AN21">
            <v>3000</v>
          </cell>
          <cell r="AO21">
            <v>3000</v>
          </cell>
          <cell r="AP21">
            <v>3000</v>
          </cell>
          <cell r="AQ21">
            <v>3000</v>
          </cell>
          <cell r="AR21">
            <v>3000</v>
          </cell>
          <cell r="AS21">
            <v>3000</v>
          </cell>
          <cell r="AT21">
            <v>3000</v>
          </cell>
          <cell r="AU21">
            <v>3000</v>
          </cell>
          <cell r="AV21">
            <v>3000</v>
          </cell>
          <cell r="AW21">
            <v>3000</v>
          </cell>
          <cell r="AX21">
            <v>3000</v>
          </cell>
          <cell r="AY21">
            <v>3000</v>
          </cell>
          <cell r="AZ21">
            <v>3000</v>
          </cell>
          <cell r="BA21">
            <v>3000</v>
          </cell>
          <cell r="BB21">
            <v>3000</v>
          </cell>
          <cell r="BC21">
            <v>3000</v>
          </cell>
          <cell r="BD21">
            <v>3000</v>
          </cell>
          <cell r="BE21">
            <v>3000</v>
          </cell>
          <cell r="BF21">
            <v>3000</v>
          </cell>
          <cell r="BG21">
            <v>3000</v>
          </cell>
          <cell r="BH21">
            <v>3000</v>
          </cell>
          <cell r="BI21">
            <v>3000</v>
          </cell>
          <cell r="BJ21">
            <v>3000</v>
          </cell>
          <cell r="BK21">
            <v>3000</v>
          </cell>
          <cell r="BL21">
            <v>3000</v>
          </cell>
          <cell r="BM21">
            <v>3000</v>
          </cell>
          <cell r="BN21">
            <v>3000</v>
          </cell>
          <cell r="BO21">
            <v>3000</v>
          </cell>
          <cell r="BP21">
            <v>3000</v>
          </cell>
          <cell r="BQ21">
            <v>3000</v>
          </cell>
          <cell r="BR21">
            <v>3000</v>
          </cell>
          <cell r="BS21">
            <v>3000</v>
          </cell>
          <cell r="BT21">
            <v>3000</v>
          </cell>
          <cell r="BU21">
            <v>3000</v>
          </cell>
          <cell r="BV21">
            <v>3000</v>
          </cell>
          <cell r="BW21">
            <v>3000</v>
          </cell>
          <cell r="BX21">
            <v>3000</v>
          </cell>
          <cell r="BY21">
            <v>3000</v>
          </cell>
          <cell r="BZ21">
            <v>3000</v>
          </cell>
        </row>
        <row r="22">
          <cell r="B22" t="str">
            <v>AUXILIO DE FINANCIACION PARA MICROEMPRESA POR MUERTE</v>
          </cell>
          <cell r="C22">
            <v>1.2149999999999916</v>
          </cell>
          <cell r="D22">
            <v>1.2149999999999916</v>
          </cell>
          <cell r="E22">
            <v>1.2149999999999916</v>
          </cell>
          <cell r="F22">
            <v>1.2149999999999916</v>
          </cell>
          <cell r="G22">
            <v>1.2149999999999916</v>
          </cell>
          <cell r="H22">
            <v>1.2149999999999916</v>
          </cell>
          <cell r="I22">
            <v>1.2149999999999916</v>
          </cell>
          <cell r="J22">
            <v>1.2149999999999916</v>
          </cell>
          <cell r="K22">
            <v>1.2149999999999916</v>
          </cell>
          <cell r="L22">
            <v>1.2149999999999916</v>
          </cell>
          <cell r="M22">
            <v>1.2149999999999916</v>
          </cell>
          <cell r="N22">
            <v>1.2149999999999916</v>
          </cell>
          <cell r="O22">
            <v>1.2149999999999916</v>
          </cell>
          <cell r="P22">
            <v>1.2149999999999916</v>
          </cell>
          <cell r="Q22">
            <v>1.2149999999999916</v>
          </cell>
          <cell r="R22">
            <v>1.2149999999999916</v>
          </cell>
          <cell r="S22">
            <v>1.2149999999999916</v>
          </cell>
          <cell r="T22">
            <v>1.2149999999999916</v>
          </cell>
          <cell r="U22">
            <v>1.2149999999999916</v>
          </cell>
          <cell r="V22">
            <v>1.2149999999999916</v>
          </cell>
          <cell r="W22">
            <v>1.2149999999999916</v>
          </cell>
          <cell r="X22">
            <v>1.2149999999999916</v>
          </cell>
          <cell r="Y22">
            <v>1.2149999999999916</v>
          </cell>
          <cell r="Z22">
            <v>1.2149999999999916</v>
          </cell>
          <cell r="AA22">
            <v>1.2149999999999916</v>
          </cell>
          <cell r="AB22">
            <v>1.2149999999999916</v>
          </cell>
          <cell r="AC22">
            <v>1.2149999999999916</v>
          </cell>
          <cell r="AD22">
            <v>1.2149999999999916</v>
          </cell>
          <cell r="AE22">
            <v>1.2149999999999916</v>
          </cell>
          <cell r="AF22">
            <v>1.2149999999999916</v>
          </cell>
          <cell r="AG22">
            <v>1.2149999999999916</v>
          </cell>
          <cell r="AH22">
            <v>1.2149999999999916</v>
          </cell>
          <cell r="AI22">
            <v>1.2149999999999916</v>
          </cell>
          <cell r="AJ22">
            <v>1.2149999999999916</v>
          </cell>
          <cell r="AK22">
            <v>1.2149999999999916</v>
          </cell>
          <cell r="AL22">
            <v>1.2149999999999916</v>
          </cell>
          <cell r="AM22">
            <v>1.2149999999999916</v>
          </cell>
          <cell r="AN22">
            <v>1.2149999999999916</v>
          </cell>
          <cell r="AO22">
            <v>1.2149999999999916</v>
          </cell>
          <cell r="AP22">
            <v>1.2149999999999916</v>
          </cell>
          <cell r="AQ22">
            <v>1.2149999999999916</v>
          </cell>
          <cell r="AR22">
            <v>1.2149999999999916</v>
          </cell>
          <cell r="AS22">
            <v>1.2149999999999916</v>
          </cell>
          <cell r="AT22">
            <v>1.2149999999999916</v>
          </cell>
          <cell r="AU22">
            <v>1.2149999999999916</v>
          </cell>
          <cell r="AV22">
            <v>1.2149999999999916</v>
          </cell>
          <cell r="AW22">
            <v>1.2149999999999916</v>
          </cell>
          <cell r="AX22">
            <v>1.2149999999999916</v>
          </cell>
          <cell r="AY22">
            <v>1.2149999999999916</v>
          </cell>
          <cell r="AZ22">
            <v>1.2149999999999916</v>
          </cell>
          <cell r="BA22">
            <v>1.2149999999999916</v>
          </cell>
          <cell r="BB22">
            <v>1.2149999999999916</v>
          </cell>
          <cell r="BC22">
            <v>1.2149999999999916</v>
          </cell>
          <cell r="BD22">
            <v>1.2149999999999916</v>
          </cell>
          <cell r="BE22">
            <v>1.2149999999999916</v>
          </cell>
          <cell r="BF22">
            <v>1.2149999999999916</v>
          </cell>
          <cell r="BG22">
            <v>1.2149999999999916</v>
          </cell>
          <cell r="BH22">
            <v>1.2149999999999916</v>
          </cell>
          <cell r="BI22">
            <v>1.2149999999999916</v>
          </cell>
          <cell r="BJ22">
            <v>1.2149999999999916</v>
          </cell>
          <cell r="BK22">
            <v>1.2149999999999916</v>
          </cell>
          <cell r="BL22">
            <v>1.2149999999999916</v>
          </cell>
          <cell r="BM22">
            <v>1.2149999999999916</v>
          </cell>
          <cell r="BN22">
            <v>1.2149999999999916</v>
          </cell>
          <cell r="BO22">
            <v>1.2149999999999916</v>
          </cell>
          <cell r="BP22">
            <v>1.2149999999999916</v>
          </cell>
          <cell r="BQ22">
            <v>1.2149999999999916</v>
          </cell>
          <cell r="BR22">
            <v>1.2149999999999916</v>
          </cell>
          <cell r="BS22">
            <v>1.2149999999999916</v>
          </cell>
          <cell r="BT22">
            <v>1.2149999999999916</v>
          </cell>
          <cell r="BU22">
            <v>1.2149999999999916</v>
          </cell>
          <cell r="BV22">
            <v>1.2149999999999916</v>
          </cell>
          <cell r="BW22">
            <v>1.2149999999999916</v>
          </cell>
          <cell r="BX22">
            <v>1.2149999999999916</v>
          </cell>
          <cell r="BY22">
            <v>1.2149999999999916</v>
          </cell>
          <cell r="BZ22">
            <v>1.2149999999999916</v>
          </cell>
        </row>
        <row r="23">
          <cell r="B23" t="str">
            <v>AUXILIO DE MATERNIDAD O PATERNIDAD</v>
          </cell>
          <cell r="C23">
            <v>16.739999999999998</v>
          </cell>
          <cell r="D23">
            <v>16.739999999999998</v>
          </cell>
          <cell r="E23">
            <v>16.739999999999998</v>
          </cell>
          <cell r="F23">
            <v>16.739999999999998</v>
          </cell>
          <cell r="G23">
            <v>16.739999999999998</v>
          </cell>
          <cell r="H23">
            <v>16.739999999999998</v>
          </cell>
          <cell r="I23">
            <v>16.739999999999998</v>
          </cell>
          <cell r="J23">
            <v>16.739999999999998</v>
          </cell>
          <cell r="K23">
            <v>16.739999999999998</v>
          </cell>
          <cell r="L23">
            <v>16.739999999999998</v>
          </cell>
          <cell r="M23">
            <v>16.739999999999998</v>
          </cell>
          <cell r="N23">
            <v>16.739999999999998</v>
          </cell>
          <cell r="O23">
            <v>16.739999999999998</v>
          </cell>
          <cell r="P23">
            <v>16.739999999999998</v>
          </cell>
          <cell r="Q23">
            <v>16.739999999999998</v>
          </cell>
          <cell r="R23">
            <v>16.739999999999998</v>
          </cell>
          <cell r="S23">
            <v>16.739999999999998</v>
          </cell>
          <cell r="T23">
            <v>16.739999999999998</v>
          </cell>
          <cell r="U23">
            <v>16.739999999999998</v>
          </cell>
          <cell r="V23">
            <v>16.739999999999998</v>
          </cell>
          <cell r="W23">
            <v>16.739999999999998</v>
          </cell>
          <cell r="X23">
            <v>16.739999999999998</v>
          </cell>
          <cell r="Y23">
            <v>16.739999999999998</v>
          </cell>
          <cell r="Z23">
            <v>16.739999999999998</v>
          </cell>
          <cell r="AA23">
            <v>16.739999999999998</v>
          </cell>
          <cell r="AB23">
            <v>16.739999999999998</v>
          </cell>
          <cell r="AC23">
            <v>16.739999999999998</v>
          </cell>
          <cell r="AD23">
            <v>16.739999999999998</v>
          </cell>
          <cell r="AE23">
            <v>16.739999999999998</v>
          </cell>
          <cell r="AF23">
            <v>16.739999999999998</v>
          </cell>
          <cell r="AG23">
            <v>16.739999999999998</v>
          </cell>
          <cell r="AH23">
            <v>16.739999999999998</v>
          </cell>
          <cell r="AI23">
            <v>16.739999999999998</v>
          </cell>
          <cell r="AJ23">
            <v>16.739999999999998</v>
          </cell>
          <cell r="AK23">
            <v>16.739999999999998</v>
          </cell>
          <cell r="AL23">
            <v>16.739999999999998</v>
          </cell>
          <cell r="AM23">
            <v>16.739999999999998</v>
          </cell>
          <cell r="AN23">
            <v>16.739999999999998</v>
          </cell>
          <cell r="AO23">
            <v>16.739999999999998</v>
          </cell>
          <cell r="AP23">
            <v>16.739999999999998</v>
          </cell>
          <cell r="AQ23">
            <v>16.739999999999998</v>
          </cell>
          <cell r="AR23">
            <v>16.739999999999998</v>
          </cell>
          <cell r="AS23">
            <v>16.739999999999998</v>
          </cell>
          <cell r="AT23">
            <v>16.739999999999998</v>
          </cell>
          <cell r="AU23">
            <v>16.739999999999998</v>
          </cell>
          <cell r="AV23">
            <v>16.739999999999998</v>
          </cell>
          <cell r="AW23">
            <v>16.739999999999998</v>
          </cell>
          <cell r="AX23">
            <v>16.739999999999998</v>
          </cell>
          <cell r="AY23">
            <v>16.739999999999998</v>
          </cell>
          <cell r="AZ23">
            <v>16.739999999999998</v>
          </cell>
          <cell r="BA23">
            <v>16.739999999999998</v>
          </cell>
          <cell r="BB23">
            <v>16.739999999999998</v>
          </cell>
          <cell r="BC23">
            <v>16.739999999999998</v>
          </cell>
          <cell r="BD23">
            <v>16.739999999999998</v>
          </cell>
          <cell r="BE23">
            <v>16.739999999999998</v>
          </cell>
          <cell r="BF23">
            <v>16.739999999999998</v>
          </cell>
          <cell r="BG23">
            <v>16.739999999999998</v>
          </cell>
          <cell r="BH23">
            <v>16.739999999999998</v>
          </cell>
          <cell r="BI23">
            <v>16.739999999999998</v>
          </cell>
          <cell r="BJ23">
            <v>16.739999999999998</v>
          </cell>
          <cell r="BK23">
            <v>16.739999999999998</v>
          </cell>
          <cell r="BL23">
            <v>16.739999999999998</v>
          </cell>
          <cell r="BM23">
            <v>16.739999999999998</v>
          </cell>
          <cell r="BN23">
            <v>16.739999999999998</v>
          </cell>
          <cell r="BO23">
            <v>16.739999999999998</v>
          </cell>
          <cell r="BP23">
            <v>16.739999999999998</v>
          </cell>
          <cell r="BQ23">
            <v>16.739999999999998</v>
          </cell>
          <cell r="BR23">
            <v>16.739999999999998</v>
          </cell>
          <cell r="BS23">
            <v>16.739999999999998</v>
          </cell>
          <cell r="BT23">
            <v>16.739999999999998</v>
          </cell>
          <cell r="BU23">
            <v>16.739999999999998</v>
          </cell>
          <cell r="BV23">
            <v>16.739999999999998</v>
          </cell>
          <cell r="BW23">
            <v>16.739999999999998</v>
          </cell>
          <cell r="BX23">
            <v>16.739999999999998</v>
          </cell>
          <cell r="BY23">
            <v>16.739999999999998</v>
          </cell>
          <cell r="BZ23">
            <v>16.739999999999998</v>
          </cell>
        </row>
        <row r="24">
          <cell r="B24" t="str">
            <v>AUXILIO DE NACIMIENTO</v>
          </cell>
          <cell r="C24">
            <v>16.739999999999998</v>
          </cell>
          <cell r="D24">
            <v>16.739999999999998</v>
          </cell>
          <cell r="E24">
            <v>16.739999999999998</v>
          </cell>
          <cell r="F24">
            <v>16.739999999999998</v>
          </cell>
          <cell r="G24">
            <v>16.739999999999998</v>
          </cell>
          <cell r="H24">
            <v>16.739999999999998</v>
          </cell>
          <cell r="I24">
            <v>16.739999999999998</v>
          </cell>
          <cell r="J24">
            <v>16.739999999999998</v>
          </cell>
          <cell r="K24">
            <v>16.739999999999998</v>
          </cell>
          <cell r="L24">
            <v>16.739999999999998</v>
          </cell>
          <cell r="M24">
            <v>16.739999999999998</v>
          </cell>
          <cell r="N24">
            <v>16.739999999999998</v>
          </cell>
          <cell r="O24">
            <v>16.739999999999998</v>
          </cell>
          <cell r="P24">
            <v>16.739999999999998</v>
          </cell>
          <cell r="Q24">
            <v>16.739999999999998</v>
          </cell>
          <cell r="R24">
            <v>16.739999999999998</v>
          </cell>
          <cell r="S24">
            <v>16.739999999999998</v>
          </cell>
          <cell r="T24">
            <v>16.739999999999998</v>
          </cell>
          <cell r="U24">
            <v>16.739999999999998</v>
          </cell>
          <cell r="V24">
            <v>16.739999999999998</v>
          </cell>
          <cell r="W24">
            <v>16.739999999999998</v>
          </cell>
          <cell r="X24">
            <v>16.739999999999998</v>
          </cell>
          <cell r="Y24">
            <v>16.739999999999998</v>
          </cell>
          <cell r="Z24">
            <v>16.739999999999998</v>
          </cell>
          <cell r="AA24">
            <v>16.739999999999998</v>
          </cell>
          <cell r="AB24">
            <v>16.739999999999998</v>
          </cell>
          <cell r="AC24">
            <v>16.739999999999998</v>
          </cell>
          <cell r="AD24">
            <v>16.739999999999998</v>
          </cell>
          <cell r="AE24">
            <v>16.739999999999998</v>
          </cell>
          <cell r="AF24">
            <v>16.739999999999998</v>
          </cell>
          <cell r="AG24">
            <v>16.739999999999998</v>
          </cell>
          <cell r="AH24">
            <v>16.739999999999998</v>
          </cell>
          <cell r="AI24">
            <v>16.739999999999998</v>
          </cell>
          <cell r="AJ24">
            <v>16.739999999999998</v>
          </cell>
          <cell r="AK24">
            <v>16.739999999999998</v>
          </cell>
          <cell r="AL24">
            <v>16.739999999999998</v>
          </cell>
          <cell r="AM24">
            <v>16.739999999999998</v>
          </cell>
          <cell r="AN24">
            <v>16.739999999999998</v>
          </cell>
          <cell r="AO24">
            <v>16.739999999999998</v>
          </cell>
          <cell r="AP24">
            <v>16.739999999999998</v>
          </cell>
          <cell r="AQ24">
            <v>16.739999999999998</v>
          </cell>
          <cell r="AR24">
            <v>16.739999999999998</v>
          </cell>
          <cell r="AS24">
            <v>16.739999999999998</v>
          </cell>
          <cell r="AT24">
            <v>16.739999999999998</v>
          </cell>
          <cell r="AU24">
            <v>16.739999999999998</v>
          </cell>
          <cell r="AV24">
            <v>16.739999999999998</v>
          </cell>
          <cell r="AW24">
            <v>16.739999999999998</v>
          </cell>
          <cell r="AX24">
            <v>16.739999999999998</v>
          </cell>
          <cell r="AY24">
            <v>16.739999999999998</v>
          </cell>
          <cell r="AZ24">
            <v>16.739999999999998</v>
          </cell>
          <cell r="BA24">
            <v>16.739999999999998</v>
          </cell>
          <cell r="BB24">
            <v>16.739999999999998</v>
          </cell>
          <cell r="BC24">
            <v>16.739999999999998</v>
          </cell>
          <cell r="BD24">
            <v>16.739999999999998</v>
          </cell>
          <cell r="BE24">
            <v>16.739999999999998</v>
          </cell>
          <cell r="BF24">
            <v>16.739999999999998</v>
          </cell>
          <cell r="BG24">
            <v>16.739999999999998</v>
          </cell>
          <cell r="BH24">
            <v>16.739999999999998</v>
          </cell>
          <cell r="BI24">
            <v>16.739999999999998</v>
          </cell>
          <cell r="BJ24">
            <v>16.739999999999998</v>
          </cell>
          <cell r="BK24">
            <v>16.739999999999998</v>
          </cell>
          <cell r="BL24">
            <v>16.739999999999998</v>
          </cell>
          <cell r="BM24">
            <v>16.739999999999998</v>
          </cell>
          <cell r="BN24">
            <v>16.739999999999998</v>
          </cell>
          <cell r="BO24">
            <v>16.739999999999998</v>
          </cell>
          <cell r="BP24">
            <v>16.739999999999998</v>
          </cell>
          <cell r="BQ24">
            <v>16.739999999999998</v>
          </cell>
          <cell r="BR24">
            <v>16.739999999999998</v>
          </cell>
          <cell r="BS24">
            <v>16.739999999999998</v>
          </cell>
          <cell r="BT24">
            <v>16.739999999999998</v>
          </cell>
          <cell r="BU24">
            <v>16.739999999999998</v>
          </cell>
          <cell r="BV24">
            <v>16.739999999999998</v>
          </cell>
          <cell r="BW24">
            <v>16.739999999999998</v>
          </cell>
          <cell r="BX24">
            <v>16.739999999999998</v>
          </cell>
          <cell r="BY24">
            <v>16.739999999999998</v>
          </cell>
          <cell r="BZ24">
            <v>16.739999999999998</v>
          </cell>
        </row>
        <row r="25">
          <cell r="B25" t="str">
            <v>AUXILIO PARA ACONDICIONAMIENTO DE VEHÍCULO POR INCAPACIDAD TOTAL Y PERMANENTE</v>
          </cell>
          <cell r="C25">
            <v>0.128</v>
          </cell>
          <cell r="D25">
            <v>0.128</v>
          </cell>
          <cell r="E25">
            <v>0.128</v>
          </cell>
          <cell r="F25">
            <v>0.128</v>
          </cell>
          <cell r="G25">
            <v>0.128</v>
          </cell>
          <cell r="H25">
            <v>0.128</v>
          </cell>
          <cell r="I25">
            <v>0.128</v>
          </cell>
          <cell r="J25">
            <v>0.128</v>
          </cell>
          <cell r="K25">
            <v>0.128</v>
          </cell>
          <cell r="L25">
            <v>0.128</v>
          </cell>
          <cell r="M25">
            <v>0.128</v>
          </cell>
          <cell r="N25">
            <v>0.128</v>
          </cell>
          <cell r="O25">
            <v>0.128</v>
          </cell>
          <cell r="P25">
            <v>0.128</v>
          </cell>
          <cell r="Q25">
            <v>0.128</v>
          </cell>
          <cell r="R25">
            <v>0.128</v>
          </cell>
          <cell r="S25">
            <v>0.128</v>
          </cell>
          <cell r="T25">
            <v>0.128</v>
          </cell>
          <cell r="U25">
            <v>0.128</v>
          </cell>
          <cell r="V25">
            <v>0.128</v>
          </cell>
          <cell r="W25">
            <v>0.128</v>
          </cell>
          <cell r="X25">
            <v>0.12</v>
          </cell>
          <cell r="Y25">
            <v>0.11200000000000002</v>
          </cell>
          <cell r="Z25">
            <v>0.10400000000000001</v>
          </cell>
          <cell r="AA25">
            <v>9.6000000000000002E-2</v>
          </cell>
          <cell r="AB25">
            <v>9.6000000000000002E-2</v>
          </cell>
          <cell r="AC25">
            <v>9.6000000000000002E-2</v>
          </cell>
          <cell r="AD25">
            <v>8.8000000000000009E-2</v>
          </cell>
          <cell r="AE25">
            <v>8.8000000000000009E-2</v>
          </cell>
          <cell r="AF25">
            <v>9.6000000000000002E-2</v>
          </cell>
          <cell r="AG25">
            <v>9.6000000000000002E-2</v>
          </cell>
          <cell r="AH25">
            <v>9.6000000000000002E-2</v>
          </cell>
          <cell r="AI25">
            <v>0.10400000000000001</v>
          </cell>
          <cell r="AJ25">
            <v>0.11200000000000002</v>
          </cell>
          <cell r="AK25">
            <v>0.12</v>
          </cell>
          <cell r="AL25">
            <v>0.128</v>
          </cell>
          <cell r="AM25">
            <v>0.13600000000000001</v>
          </cell>
          <cell r="AN25">
            <v>0.14399999999999999</v>
          </cell>
          <cell r="AO25">
            <v>0.16000000000000003</v>
          </cell>
          <cell r="AP25">
            <v>0.17600000000000002</v>
          </cell>
          <cell r="AQ25">
            <v>0.18400000000000002</v>
          </cell>
          <cell r="AR25">
            <v>0.2</v>
          </cell>
          <cell r="AS25">
            <v>0.22400000000000003</v>
          </cell>
          <cell r="AT25">
            <v>0.24</v>
          </cell>
          <cell r="AU25">
            <v>0.25600000000000001</v>
          </cell>
          <cell r="AV25">
            <v>0.27999999999999997</v>
          </cell>
          <cell r="AW25">
            <v>0.30400000000000005</v>
          </cell>
          <cell r="AX25">
            <v>0.32800000000000001</v>
          </cell>
          <cell r="AY25">
            <v>0.35200000000000004</v>
          </cell>
          <cell r="AZ25">
            <v>0.376</v>
          </cell>
          <cell r="BA25">
            <v>0.40800000000000003</v>
          </cell>
          <cell r="BB25">
            <v>0.43200000000000005</v>
          </cell>
          <cell r="BC25">
            <v>0.46399999999999997</v>
          </cell>
          <cell r="BD25">
            <v>0.496</v>
          </cell>
          <cell r="BE25">
            <v>0.52800000000000002</v>
          </cell>
          <cell r="BF25">
            <v>0.55999999999999994</v>
          </cell>
          <cell r="BG25">
            <v>0.59199999999999997</v>
          </cell>
          <cell r="BH25">
            <v>0.63200000000000012</v>
          </cell>
          <cell r="BI25">
            <v>0.67200000000000004</v>
          </cell>
          <cell r="BJ25">
            <v>0.70400000000000007</v>
          </cell>
          <cell r="BK25">
            <v>0.74400000000000011</v>
          </cell>
          <cell r="BL25">
            <v>0.79200000000000004</v>
          </cell>
          <cell r="BM25">
            <v>0.83200000000000007</v>
          </cell>
          <cell r="BN25">
            <v>0.872</v>
          </cell>
          <cell r="BO25">
            <v>0.91999999999999993</v>
          </cell>
          <cell r="BP25">
            <v>0.96799999999999997</v>
          </cell>
          <cell r="BQ25">
            <v>1.016</v>
          </cell>
          <cell r="BR25">
            <v>1.0640000000000001</v>
          </cell>
          <cell r="BS25">
            <v>1.1119999999999999</v>
          </cell>
          <cell r="BT25">
            <v>1.1599999999999999</v>
          </cell>
          <cell r="BU25">
            <v>1.2160000000000002</v>
          </cell>
          <cell r="BV25">
            <v>1.2160000000000002</v>
          </cell>
          <cell r="BW25">
            <v>1.2160000000000002</v>
          </cell>
          <cell r="BX25">
            <v>1.2160000000000002</v>
          </cell>
          <cell r="BY25">
            <v>1.2160000000000002</v>
          </cell>
          <cell r="BZ25">
            <v>1.2160000000000002</v>
          </cell>
        </row>
        <row r="26">
          <cell r="B26" t="str">
            <v>AUXILIO PARA ASISTENCIA PSICOLÓGICA POR MUERTE</v>
          </cell>
          <cell r="C26">
            <v>1.2149999999999916</v>
          </cell>
          <cell r="D26">
            <v>1.2149999999999916</v>
          </cell>
          <cell r="E26">
            <v>1.2149999999999916</v>
          </cell>
          <cell r="F26">
            <v>1.2149999999999916</v>
          </cell>
          <cell r="G26">
            <v>1.2149999999999916</v>
          </cell>
          <cell r="H26">
            <v>1.2149999999999916</v>
          </cell>
          <cell r="I26">
            <v>1.2149999999999916</v>
          </cell>
          <cell r="J26">
            <v>1.2149999999999916</v>
          </cell>
          <cell r="K26">
            <v>1.2149999999999916</v>
          </cell>
          <cell r="L26">
            <v>1.2149999999999916</v>
          </cell>
          <cell r="M26">
            <v>1.2149999999999916</v>
          </cell>
          <cell r="N26">
            <v>1.2149999999999916</v>
          </cell>
          <cell r="O26">
            <v>1.2149999999999916</v>
          </cell>
          <cell r="P26">
            <v>1.2149999999999916</v>
          </cell>
          <cell r="Q26">
            <v>1.2149999999999916</v>
          </cell>
          <cell r="R26">
            <v>1.2149999999999916</v>
          </cell>
          <cell r="S26">
            <v>1.2149999999999916</v>
          </cell>
          <cell r="T26">
            <v>1.2149999999999916</v>
          </cell>
          <cell r="U26">
            <v>1.2149999999999916</v>
          </cell>
          <cell r="V26">
            <v>1.2150000000000067</v>
          </cell>
          <cell r="W26">
            <v>1.2149999999999999</v>
          </cell>
          <cell r="X26">
            <v>1.2336336502838461</v>
          </cell>
          <cell r="Y26">
            <v>1.2549034008330024</v>
          </cell>
          <cell r="Z26">
            <v>1.2738115741835121</v>
          </cell>
          <cell r="AA26">
            <v>1.2928382088962076</v>
          </cell>
          <cell r="AB26">
            <v>1.3043825741274109</v>
          </cell>
          <cell r="AC26">
            <v>1.3210645434186523</v>
          </cell>
          <cell r="AD26">
            <v>1.3327592457605</v>
          </cell>
          <cell r="AE26">
            <v>1.3470467781465878</v>
          </cell>
          <cell r="AF26">
            <v>1.3588787626844279</v>
          </cell>
          <cell r="AG26">
            <v>1.3707201485706999</v>
          </cell>
          <cell r="AH26">
            <v>1.3852169338285834</v>
          </cell>
          <cell r="AI26">
            <v>1.399796244562665</v>
          </cell>
          <cell r="AJ26">
            <v>1.4143860535694039</v>
          </cell>
          <cell r="AK26">
            <v>1.4343148543258701</v>
          </cell>
          <cell r="AL26">
            <v>1.4517327641736244</v>
          </cell>
          <cell r="AM26">
            <v>1.4666019914772839</v>
          </cell>
          <cell r="AN26">
            <v>1.4842144897298675</v>
          </cell>
          <cell r="AO26">
            <v>1.5019388211688123</v>
          </cell>
          <cell r="AP26">
            <v>1.5223585878560546</v>
          </cell>
          <cell r="AQ26">
            <v>1.5481960946221853</v>
          </cell>
          <cell r="AR26">
            <v>1.5716302689600372</v>
          </cell>
          <cell r="AS26">
            <v>1.597838951884857</v>
          </cell>
          <cell r="AT26">
            <v>1.6112657606025871</v>
          </cell>
          <cell r="AU26">
            <v>1.6265509228813189</v>
          </cell>
          <cell r="AV26">
            <v>1.6375942332031035</v>
          </cell>
          <cell r="AW26">
            <v>1.6531665432685401</v>
          </cell>
          <cell r="AX26">
            <v>1.668904448562456</v>
          </cell>
          <cell r="AY26">
            <v>1.6892682437627446</v>
          </cell>
          <cell r="AZ26">
            <v>1.7188129448099905</v>
          </cell>
          <cell r="BA26">
            <v>1.76219375140481</v>
          </cell>
          <cell r="BB26">
            <v>1.8241748318056623</v>
          </cell>
          <cell r="BC26">
            <v>1.914179442982854</v>
          </cell>
          <cell r="BD26">
            <v>2.0282126660741553</v>
          </cell>
          <cell r="BE26">
            <v>2.1805604865032011</v>
          </cell>
          <cell r="BF26">
            <v>2.3629391646802778</v>
          </cell>
          <cell r="BG26">
            <v>2.5947548883328704</v>
          </cell>
          <cell r="BH26">
            <v>2.8682025930416941</v>
          </cell>
          <cell r="BI26">
            <v>3.1895529223867629</v>
          </cell>
          <cell r="BJ26">
            <v>3.5513885929398392</v>
          </cell>
          <cell r="BK26">
            <v>3.9462997467870622</v>
          </cell>
          <cell r="BL26">
            <v>4.3571618133127457</v>
          </cell>
          <cell r="BM26">
            <v>4.7759009695713157</v>
          </cell>
          <cell r="BN26">
            <v>5.2039103386985293</v>
          </cell>
          <cell r="BO26">
            <v>5.5976588879717868</v>
          </cell>
          <cell r="BP26">
            <v>5.9815075529850468</v>
          </cell>
          <cell r="BQ26">
            <v>6.3452822414503514</v>
          </cell>
          <cell r="BR26">
            <v>6.7039983253087714</v>
          </cell>
          <cell r="BS26">
            <v>7.2227914465542717</v>
          </cell>
          <cell r="BT26">
            <v>7.6591592812423785</v>
          </cell>
          <cell r="BU26">
            <v>8.1623630510769409</v>
          </cell>
          <cell r="BV26">
            <v>8.7893489789010495</v>
          </cell>
          <cell r="BW26">
            <v>9.5521010584604724</v>
          </cell>
          <cell r="BX26">
            <v>10.577633328408922</v>
          </cell>
          <cell r="BY26">
            <v>11.878603945371776</v>
          </cell>
          <cell r="BZ26">
            <v>13.51203415541967</v>
          </cell>
        </row>
        <row r="27">
          <cell r="B27" t="str">
            <v>AUXILIO PARA GASTOS DE  RECREACION POR MUERTE</v>
          </cell>
          <cell r="C27">
            <v>1.2149999999999916</v>
          </cell>
          <cell r="D27">
            <v>1.2149999999999916</v>
          </cell>
          <cell r="E27">
            <v>1.2149999999999916</v>
          </cell>
          <cell r="F27">
            <v>1.2149999999999916</v>
          </cell>
          <cell r="G27">
            <v>1.2149999999999916</v>
          </cell>
          <cell r="H27">
            <v>1.2149999999999916</v>
          </cell>
          <cell r="I27">
            <v>1.2149999999999916</v>
          </cell>
          <cell r="J27">
            <v>1.2149999999999916</v>
          </cell>
          <cell r="K27">
            <v>1.2149999999999916</v>
          </cell>
          <cell r="L27">
            <v>1.2149999999999916</v>
          </cell>
          <cell r="M27">
            <v>1.2149999999999916</v>
          </cell>
          <cell r="N27">
            <v>1.2149999999999916</v>
          </cell>
          <cell r="O27">
            <v>1.2149999999999916</v>
          </cell>
          <cell r="P27">
            <v>1.2149999999999916</v>
          </cell>
          <cell r="Q27">
            <v>1.2149999999999916</v>
          </cell>
          <cell r="R27">
            <v>1.2149999999999916</v>
          </cell>
          <cell r="S27">
            <v>1.2149999999999916</v>
          </cell>
          <cell r="T27">
            <v>1.2149999999999916</v>
          </cell>
          <cell r="U27">
            <v>1.2149999999999916</v>
          </cell>
          <cell r="V27">
            <v>1.2150000000000067</v>
          </cell>
          <cell r="W27">
            <v>1.2149999999999999</v>
          </cell>
          <cell r="X27">
            <v>1.2336336502838461</v>
          </cell>
          <cell r="Y27">
            <v>1.2549034008330024</v>
          </cell>
          <cell r="Z27">
            <v>1.2738115741835121</v>
          </cell>
          <cell r="AA27">
            <v>1.2928382088962076</v>
          </cell>
          <cell r="AB27">
            <v>1.3043825741274109</v>
          </cell>
          <cell r="AC27">
            <v>1.3210645434186523</v>
          </cell>
          <cell r="AD27">
            <v>1.3327592457605</v>
          </cell>
          <cell r="AE27">
            <v>1.3470467781465878</v>
          </cell>
          <cell r="AF27">
            <v>1.3588787626844279</v>
          </cell>
          <cell r="AG27">
            <v>1.3707201485706999</v>
          </cell>
          <cell r="AH27">
            <v>1.3852169338285834</v>
          </cell>
          <cell r="AI27">
            <v>1.399796244562665</v>
          </cell>
          <cell r="AJ27">
            <v>1.4143860535694039</v>
          </cell>
          <cell r="AK27">
            <v>1.4343148543258701</v>
          </cell>
          <cell r="AL27">
            <v>1.4517327641736244</v>
          </cell>
          <cell r="AM27">
            <v>1.4666019914772839</v>
          </cell>
          <cell r="AN27">
            <v>1.4842144897298675</v>
          </cell>
          <cell r="AO27">
            <v>1.5019388211688123</v>
          </cell>
          <cell r="AP27">
            <v>1.5223585878560546</v>
          </cell>
          <cell r="AQ27">
            <v>1.5481960946221853</v>
          </cell>
          <cell r="AR27">
            <v>1.5716302689600372</v>
          </cell>
          <cell r="AS27">
            <v>1.597838951884857</v>
          </cell>
          <cell r="AT27">
            <v>1.6112657606025871</v>
          </cell>
          <cell r="AU27">
            <v>1.6265509228813189</v>
          </cell>
          <cell r="AV27">
            <v>1.6375942332031035</v>
          </cell>
          <cell r="AW27">
            <v>1.6531665432685401</v>
          </cell>
          <cell r="AX27">
            <v>1.668904448562456</v>
          </cell>
          <cell r="AY27">
            <v>1.6892682437627446</v>
          </cell>
          <cell r="AZ27">
            <v>1.7188129448099905</v>
          </cell>
          <cell r="BA27">
            <v>1.76219375140481</v>
          </cell>
          <cell r="BB27">
            <v>1.8241748318056623</v>
          </cell>
          <cell r="BC27">
            <v>1.914179442982854</v>
          </cell>
          <cell r="BD27">
            <v>2.0282126660741553</v>
          </cell>
          <cell r="BE27">
            <v>2.1805604865032011</v>
          </cell>
          <cell r="BF27">
            <v>2.3629391646802778</v>
          </cell>
          <cell r="BG27">
            <v>2.5947548883328704</v>
          </cell>
          <cell r="BH27">
            <v>2.8682025930416941</v>
          </cell>
          <cell r="BI27">
            <v>3.1895529223867629</v>
          </cell>
          <cell r="BJ27">
            <v>3.5513885929398392</v>
          </cell>
          <cell r="BK27">
            <v>3.9462997467870622</v>
          </cell>
          <cell r="BL27">
            <v>4.3571618133127457</v>
          </cell>
          <cell r="BM27">
            <v>4.7759009695713157</v>
          </cell>
          <cell r="BN27">
            <v>5.2039103386985293</v>
          </cell>
          <cell r="BO27">
            <v>5.5976588879717868</v>
          </cell>
          <cell r="BP27">
            <v>5.9815075529850468</v>
          </cell>
          <cell r="BQ27">
            <v>6.3452822414503514</v>
          </cell>
          <cell r="BR27">
            <v>6.7039983253087714</v>
          </cell>
          <cell r="BS27">
            <v>7.2227914465542717</v>
          </cell>
          <cell r="BT27">
            <v>7.6591592812423785</v>
          </cell>
          <cell r="BU27">
            <v>8.1623630510769409</v>
          </cell>
          <cell r="BV27">
            <v>8.7893489789010495</v>
          </cell>
          <cell r="BW27">
            <v>9.5521010584604724</v>
          </cell>
          <cell r="BX27">
            <v>10.577633328408922</v>
          </cell>
          <cell r="BY27">
            <v>11.878603945371776</v>
          </cell>
          <cell r="BZ27">
            <v>13.51203415541967</v>
          </cell>
        </row>
        <row r="28">
          <cell r="B28" t="str">
            <v>AUXILIO PARA GASTOS DE ARRENDAMIENTO POR MUERTE</v>
          </cell>
          <cell r="C28">
            <v>1.2149999999999916</v>
          </cell>
          <cell r="D28">
            <v>1.2149999999999916</v>
          </cell>
          <cell r="E28">
            <v>1.2149999999999916</v>
          </cell>
          <cell r="F28">
            <v>1.2149999999999916</v>
          </cell>
          <cell r="G28">
            <v>1.2149999999999916</v>
          </cell>
          <cell r="H28">
            <v>1.2149999999999916</v>
          </cell>
          <cell r="I28">
            <v>1.2149999999999916</v>
          </cell>
          <cell r="J28">
            <v>1.2149999999999916</v>
          </cell>
          <cell r="K28">
            <v>1.2149999999999916</v>
          </cell>
          <cell r="L28">
            <v>1.2149999999999916</v>
          </cell>
          <cell r="M28">
            <v>1.2149999999999916</v>
          </cell>
          <cell r="N28">
            <v>1.2149999999999916</v>
          </cell>
          <cell r="O28">
            <v>1.2149999999999916</v>
          </cell>
          <cell r="P28">
            <v>1.2149999999999916</v>
          </cell>
          <cell r="Q28">
            <v>1.2149999999999916</v>
          </cell>
          <cell r="R28">
            <v>1.2149999999999916</v>
          </cell>
          <cell r="S28">
            <v>1.2149999999999916</v>
          </cell>
          <cell r="T28">
            <v>1.2149999999999916</v>
          </cell>
          <cell r="U28">
            <v>1.2149999999999916</v>
          </cell>
          <cell r="V28">
            <v>1.2150000000000067</v>
          </cell>
          <cell r="W28">
            <v>1.2149999999999999</v>
          </cell>
          <cell r="X28">
            <v>1.2336336502838461</v>
          </cell>
          <cell r="Y28">
            <v>1.2549034008330024</v>
          </cell>
          <cell r="Z28">
            <v>1.2738115741835121</v>
          </cell>
          <cell r="AA28">
            <v>1.2928382088962076</v>
          </cell>
          <cell r="AB28">
            <v>1.3043825741274109</v>
          </cell>
          <cell r="AC28">
            <v>1.3210645434186523</v>
          </cell>
          <cell r="AD28">
            <v>1.3327592457605</v>
          </cell>
          <cell r="AE28">
            <v>1.3470467781465878</v>
          </cell>
          <cell r="AF28">
            <v>1.3588787626844279</v>
          </cell>
          <cell r="AG28">
            <v>1.3707201485706999</v>
          </cell>
          <cell r="AH28">
            <v>1.3852169338285834</v>
          </cell>
          <cell r="AI28">
            <v>1.399796244562665</v>
          </cell>
          <cell r="AJ28">
            <v>1.4143860535694039</v>
          </cell>
          <cell r="AK28">
            <v>1.4343148543258701</v>
          </cell>
          <cell r="AL28">
            <v>1.4517327641736244</v>
          </cell>
          <cell r="AM28">
            <v>1.4666019914772839</v>
          </cell>
          <cell r="AN28">
            <v>1.4842144897298675</v>
          </cell>
          <cell r="AO28">
            <v>1.5019388211688123</v>
          </cell>
          <cell r="AP28">
            <v>1.5223585878560546</v>
          </cell>
          <cell r="AQ28">
            <v>1.5481960946221853</v>
          </cell>
          <cell r="AR28">
            <v>1.5716302689600372</v>
          </cell>
          <cell r="AS28">
            <v>1.597838951884857</v>
          </cell>
          <cell r="AT28">
            <v>1.6112657606025871</v>
          </cell>
          <cell r="AU28">
            <v>1.6265509228813189</v>
          </cell>
          <cell r="AV28">
            <v>1.6375942332031035</v>
          </cell>
          <cell r="AW28">
            <v>1.6531665432685401</v>
          </cell>
          <cell r="AX28">
            <v>1.668904448562456</v>
          </cell>
          <cell r="AY28">
            <v>1.6892682437627446</v>
          </cell>
          <cell r="AZ28">
            <v>1.7188129448099905</v>
          </cell>
          <cell r="BA28">
            <v>1.76219375140481</v>
          </cell>
          <cell r="BB28">
            <v>1.8241748318056623</v>
          </cell>
          <cell r="BC28">
            <v>1.914179442982854</v>
          </cell>
          <cell r="BD28">
            <v>2.0282126660741553</v>
          </cell>
          <cell r="BE28">
            <v>2.1805604865032011</v>
          </cell>
          <cell r="BF28">
            <v>2.3629391646802778</v>
          </cell>
          <cell r="BG28">
            <v>2.5947548883328704</v>
          </cell>
          <cell r="BH28">
            <v>2.8682025930416941</v>
          </cell>
          <cell r="BI28">
            <v>3.1895529223867629</v>
          </cell>
          <cell r="BJ28">
            <v>3.5513885929398392</v>
          </cell>
          <cell r="BK28">
            <v>3.9462997467870622</v>
          </cell>
          <cell r="BL28">
            <v>4.3571618133127457</v>
          </cell>
          <cell r="BM28">
            <v>4.7759009695713157</v>
          </cell>
          <cell r="BN28">
            <v>5.2039103386985293</v>
          </cell>
          <cell r="BO28">
            <v>5.5976588879717868</v>
          </cell>
          <cell r="BP28">
            <v>5.9815075529850468</v>
          </cell>
          <cell r="BQ28">
            <v>6.3452822414503514</v>
          </cell>
          <cell r="BR28">
            <v>6.7039983253087714</v>
          </cell>
          <cell r="BS28">
            <v>7.2227914465542717</v>
          </cell>
          <cell r="BT28">
            <v>7.6591592812423785</v>
          </cell>
          <cell r="BU28">
            <v>8.1623630510769409</v>
          </cell>
          <cell r="BV28">
            <v>8.7893489789010495</v>
          </cell>
          <cell r="BW28">
            <v>9.5521010584604724</v>
          </cell>
          <cell r="BX28">
            <v>10.577633328408922</v>
          </cell>
          <cell r="BY28">
            <v>11.878603945371776</v>
          </cell>
          <cell r="BZ28">
            <v>13.51203415541967</v>
          </cell>
        </row>
        <row r="29">
          <cell r="B29" t="str">
            <v>AUXILIO PARA GASTOS DE EDUCACIÓN POR MUERTE</v>
          </cell>
          <cell r="C29">
            <v>1.2149999999999916</v>
          </cell>
          <cell r="D29">
            <v>1.2149999999999916</v>
          </cell>
          <cell r="E29">
            <v>1.2149999999999916</v>
          </cell>
          <cell r="F29">
            <v>1.2149999999999916</v>
          </cell>
          <cell r="G29">
            <v>1.2149999999999916</v>
          </cell>
          <cell r="H29">
            <v>1.2149999999999916</v>
          </cell>
          <cell r="I29">
            <v>1.2149999999999916</v>
          </cell>
          <cell r="J29">
            <v>1.2149999999999916</v>
          </cell>
          <cell r="K29">
            <v>1.2149999999999916</v>
          </cell>
          <cell r="L29">
            <v>1.2149999999999916</v>
          </cell>
          <cell r="M29">
            <v>1.2149999999999916</v>
          </cell>
          <cell r="N29">
            <v>1.2149999999999916</v>
          </cell>
          <cell r="O29">
            <v>1.2149999999999916</v>
          </cell>
          <cell r="P29">
            <v>1.2149999999999916</v>
          </cell>
          <cell r="Q29">
            <v>1.2149999999999916</v>
          </cell>
          <cell r="R29">
            <v>1.2149999999999916</v>
          </cell>
          <cell r="S29">
            <v>1.2149999999999916</v>
          </cell>
          <cell r="T29">
            <v>1.2149999999999916</v>
          </cell>
          <cell r="U29">
            <v>1.2149999999999916</v>
          </cell>
          <cell r="V29">
            <v>1.2150000000000067</v>
          </cell>
          <cell r="W29">
            <v>1.2149999999999999</v>
          </cell>
          <cell r="X29">
            <v>1.2336336502838461</v>
          </cell>
          <cell r="Y29">
            <v>1.2549034008330024</v>
          </cell>
          <cell r="Z29">
            <v>1.2738115741835121</v>
          </cell>
          <cell r="AA29">
            <v>1.2928382088962076</v>
          </cell>
          <cell r="AB29">
            <v>1.3043825741274109</v>
          </cell>
          <cell r="AC29">
            <v>1.3210645434186523</v>
          </cell>
          <cell r="AD29">
            <v>1.3327592457605</v>
          </cell>
          <cell r="AE29">
            <v>1.3470467781465878</v>
          </cell>
          <cell r="AF29">
            <v>1.3588787626844279</v>
          </cell>
          <cell r="AG29">
            <v>1.3707201485706999</v>
          </cell>
          <cell r="AH29">
            <v>1.3852169338285834</v>
          </cell>
          <cell r="AI29">
            <v>1.399796244562665</v>
          </cell>
          <cell r="AJ29">
            <v>1.4143860535694039</v>
          </cell>
          <cell r="AK29">
            <v>1.4343148543258701</v>
          </cell>
          <cell r="AL29">
            <v>1.4517327641736244</v>
          </cell>
          <cell r="AM29">
            <v>1.4666019914772839</v>
          </cell>
          <cell r="AN29">
            <v>1.4842144897298675</v>
          </cell>
          <cell r="AO29">
            <v>1.5019388211688123</v>
          </cell>
          <cell r="AP29">
            <v>1.5223585878560546</v>
          </cell>
          <cell r="AQ29">
            <v>1.5481960946221853</v>
          </cell>
          <cell r="AR29">
            <v>1.5716302689600372</v>
          </cell>
          <cell r="AS29">
            <v>1.597838951884857</v>
          </cell>
          <cell r="AT29">
            <v>1.6112657606025871</v>
          </cell>
          <cell r="AU29">
            <v>1.6265509228813189</v>
          </cell>
          <cell r="AV29">
            <v>1.6375942332031035</v>
          </cell>
          <cell r="AW29">
            <v>1.6531665432685401</v>
          </cell>
          <cell r="AX29">
            <v>1.668904448562456</v>
          </cell>
          <cell r="AY29">
            <v>1.6892682437627446</v>
          </cell>
          <cell r="AZ29">
            <v>1.7188129448099905</v>
          </cell>
          <cell r="BA29">
            <v>1.76219375140481</v>
          </cell>
          <cell r="BB29">
            <v>1.8241748318056623</v>
          </cell>
          <cell r="BC29">
            <v>1.914179442982854</v>
          </cell>
          <cell r="BD29">
            <v>2.0282126660741553</v>
          </cell>
          <cell r="BE29">
            <v>2.1805604865032011</v>
          </cell>
          <cell r="BF29">
            <v>2.3629391646802778</v>
          </cell>
          <cell r="BG29">
            <v>2.5947548883328704</v>
          </cell>
          <cell r="BH29">
            <v>2.8682025930416941</v>
          </cell>
          <cell r="BI29">
            <v>3.1895529223867629</v>
          </cell>
          <cell r="BJ29">
            <v>3.5513885929398392</v>
          </cell>
          <cell r="BK29">
            <v>3.9462997467870622</v>
          </cell>
          <cell r="BL29">
            <v>4.3571618133127457</v>
          </cell>
          <cell r="BM29">
            <v>4.7759009695713157</v>
          </cell>
          <cell r="BN29">
            <v>5.2039103386985293</v>
          </cell>
          <cell r="BO29">
            <v>5.5976588879717868</v>
          </cell>
          <cell r="BP29">
            <v>5.9815075529850468</v>
          </cell>
          <cell r="BQ29">
            <v>6.3452822414503514</v>
          </cell>
          <cell r="BR29">
            <v>6.7039983253087714</v>
          </cell>
          <cell r="BS29">
            <v>7.2227914465542717</v>
          </cell>
          <cell r="BT29">
            <v>7.6591592812423785</v>
          </cell>
          <cell r="BU29">
            <v>8.1623630510769409</v>
          </cell>
          <cell r="BV29">
            <v>8.7893489789010495</v>
          </cell>
          <cell r="BW29">
            <v>9.5521010584604724</v>
          </cell>
          <cell r="BX29">
            <v>10.577633328408922</v>
          </cell>
          <cell r="BY29">
            <v>11.878603945371776</v>
          </cell>
          <cell r="BZ29">
            <v>13.51203415541967</v>
          </cell>
        </row>
        <row r="30">
          <cell r="B30" t="str">
            <v>AUXILIO PARA GASTOS DE SALUD POR MUERTE</v>
          </cell>
          <cell r="C30">
            <v>1.2149999999999916</v>
          </cell>
          <cell r="D30">
            <v>1.2149999999999916</v>
          </cell>
          <cell r="E30">
            <v>1.2149999999999916</v>
          </cell>
          <cell r="F30">
            <v>1.2149999999999916</v>
          </cell>
          <cell r="G30">
            <v>1.2149999999999916</v>
          </cell>
          <cell r="H30">
            <v>1.2149999999999916</v>
          </cell>
          <cell r="I30">
            <v>1.2149999999999916</v>
          </cell>
          <cell r="J30">
            <v>1.2149999999999916</v>
          </cell>
          <cell r="K30">
            <v>1.2149999999999916</v>
          </cell>
          <cell r="L30">
            <v>1.2149999999999916</v>
          </cell>
          <cell r="M30">
            <v>1.2149999999999916</v>
          </cell>
          <cell r="N30">
            <v>1.2149999999999916</v>
          </cell>
          <cell r="O30">
            <v>1.2149999999999916</v>
          </cell>
          <cell r="P30">
            <v>1.2149999999999916</v>
          </cell>
          <cell r="Q30">
            <v>1.2149999999999916</v>
          </cell>
          <cell r="R30">
            <v>1.2149999999999916</v>
          </cell>
          <cell r="S30">
            <v>1.2149999999999916</v>
          </cell>
          <cell r="T30">
            <v>1.2149999999999916</v>
          </cell>
          <cell r="U30">
            <v>1.2149999999999916</v>
          </cell>
          <cell r="V30">
            <v>1.2150000000000067</v>
          </cell>
          <cell r="W30">
            <v>1.2149999999999999</v>
          </cell>
          <cell r="X30">
            <v>1.2336336502838461</v>
          </cell>
          <cell r="Y30">
            <v>1.2549034008330024</v>
          </cell>
          <cell r="Z30">
            <v>1.2738115741835121</v>
          </cell>
          <cell r="AA30">
            <v>1.2928382088962076</v>
          </cell>
          <cell r="AB30">
            <v>1.3043825741274109</v>
          </cell>
          <cell r="AC30">
            <v>1.3210645434186523</v>
          </cell>
          <cell r="AD30">
            <v>1.3327592457605</v>
          </cell>
          <cell r="AE30">
            <v>1.3470467781465878</v>
          </cell>
          <cell r="AF30">
            <v>1.3588787626844279</v>
          </cell>
          <cell r="AG30">
            <v>1.3707201485706999</v>
          </cell>
          <cell r="AH30">
            <v>1.3852169338285834</v>
          </cell>
          <cell r="AI30">
            <v>1.399796244562665</v>
          </cell>
          <cell r="AJ30">
            <v>1.4143860535694039</v>
          </cell>
          <cell r="AK30">
            <v>1.4343148543258701</v>
          </cell>
          <cell r="AL30">
            <v>1.4517327641736244</v>
          </cell>
          <cell r="AM30">
            <v>1.4666019914772839</v>
          </cell>
          <cell r="AN30">
            <v>1.4842144897298675</v>
          </cell>
          <cell r="AO30">
            <v>1.5019388211688123</v>
          </cell>
          <cell r="AP30">
            <v>1.5223585878560546</v>
          </cell>
          <cell r="AQ30">
            <v>1.5481960946221853</v>
          </cell>
          <cell r="AR30">
            <v>1.5716302689600372</v>
          </cell>
          <cell r="AS30">
            <v>1.597838951884857</v>
          </cell>
          <cell r="AT30">
            <v>1.6112657606025871</v>
          </cell>
          <cell r="AU30">
            <v>1.6265509228813189</v>
          </cell>
          <cell r="AV30">
            <v>1.6375942332031035</v>
          </cell>
          <cell r="AW30">
            <v>1.6531665432685401</v>
          </cell>
          <cell r="AX30">
            <v>1.668904448562456</v>
          </cell>
          <cell r="AY30">
            <v>1.6892682437627446</v>
          </cell>
          <cell r="AZ30">
            <v>1.7188129448099905</v>
          </cell>
          <cell r="BA30">
            <v>1.76219375140481</v>
          </cell>
          <cell r="BB30">
            <v>1.8241748318056623</v>
          </cell>
          <cell r="BC30">
            <v>1.914179442982854</v>
          </cell>
          <cell r="BD30">
            <v>2.0282126660741553</v>
          </cell>
          <cell r="BE30">
            <v>2.1805604865032011</v>
          </cell>
          <cell r="BF30">
            <v>2.3629391646802778</v>
          </cell>
          <cell r="BG30">
            <v>2.5947548883328704</v>
          </cell>
          <cell r="BH30">
            <v>2.8682025930416941</v>
          </cell>
          <cell r="BI30">
            <v>3.1895529223867629</v>
          </cell>
          <cell r="BJ30">
            <v>3.5513885929398392</v>
          </cell>
          <cell r="BK30">
            <v>3.9462997467870622</v>
          </cell>
          <cell r="BL30">
            <v>4.3571618133127457</v>
          </cell>
          <cell r="BM30">
            <v>4.7759009695713157</v>
          </cell>
          <cell r="BN30">
            <v>5.2039103386985293</v>
          </cell>
          <cell r="BO30">
            <v>5.5976588879717868</v>
          </cell>
          <cell r="BP30">
            <v>5.9815075529850468</v>
          </cell>
          <cell r="BQ30">
            <v>6.3452822414503514</v>
          </cell>
          <cell r="BR30">
            <v>6.7039983253087714</v>
          </cell>
          <cell r="BS30">
            <v>7.2227914465542717</v>
          </cell>
          <cell r="BT30">
            <v>7.6591592812423785</v>
          </cell>
          <cell r="BU30">
            <v>8.1623630510769409</v>
          </cell>
          <cell r="BV30">
            <v>8.7893489789010495</v>
          </cell>
          <cell r="BW30">
            <v>9.5521010584604724</v>
          </cell>
          <cell r="BX30">
            <v>10.577633328408922</v>
          </cell>
          <cell r="BY30">
            <v>11.878603945371776</v>
          </cell>
          <cell r="BZ30">
            <v>13.51203415541967</v>
          </cell>
        </row>
        <row r="31">
          <cell r="B31" t="str">
            <v>AUXILIO PARA GASTOS DE SUCESIÓN</v>
          </cell>
          <cell r="C31">
            <v>1.2149999999999916</v>
          </cell>
          <cell r="D31">
            <v>1.2149999999999916</v>
          </cell>
          <cell r="E31">
            <v>1.2149999999999916</v>
          </cell>
          <cell r="F31">
            <v>1.2149999999999916</v>
          </cell>
          <cell r="G31">
            <v>1.2149999999999916</v>
          </cell>
          <cell r="H31">
            <v>1.2149999999999916</v>
          </cell>
          <cell r="I31">
            <v>1.2149999999999916</v>
          </cell>
          <cell r="J31">
            <v>1.2149999999999916</v>
          </cell>
          <cell r="K31">
            <v>1.2149999999999916</v>
          </cell>
          <cell r="L31">
            <v>1.2149999999999916</v>
          </cell>
          <cell r="M31">
            <v>1.2149999999999916</v>
          </cell>
          <cell r="N31">
            <v>1.2149999999999916</v>
          </cell>
          <cell r="O31">
            <v>1.2149999999999916</v>
          </cell>
          <cell r="P31">
            <v>1.2149999999999916</v>
          </cell>
          <cell r="Q31">
            <v>1.2149999999999916</v>
          </cell>
          <cell r="R31">
            <v>1.2149999999999916</v>
          </cell>
          <cell r="S31">
            <v>1.2149999999999916</v>
          </cell>
          <cell r="T31">
            <v>1.2149999999999916</v>
          </cell>
          <cell r="U31">
            <v>1.2149999999999916</v>
          </cell>
          <cell r="V31">
            <v>1.2150000000000067</v>
          </cell>
          <cell r="W31">
            <v>1.2149999999999999</v>
          </cell>
          <cell r="X31">
            <v>1.2336336502838461</v>
          </cell>
          <cell r="Y31">
            <v>1.2549034008330024</v>
          </cell>
          <cell r="Z31">
            <v>1.2738115741835121</v>
          </cell>
          <cell r="AA31">
            <v>1.2928382088962076</v>
          </cell>
          <cell r="AB31">
            <v>1.3043825741274109</v>
          </cell>
          <cell r="AC31">
            <v>1.3210645434186523</v>
          </cell>
          <cell r="AD31">
            <v>1.3327592457605</v>
          </cell>
          <cell r="AE31">
            <v>1.3470467781465878</v>
          </cell>
          <cell r="AF31">
            <v>1.3588787626844279</v>
          </cell>
          <cell r="AG31">
            <v>1.3707201485706999</v>
          </cell>
          <cell r="AH31">
            <v>1.3852169338285834</v>
          </cell>
          <cell r="AI31">
            <v>1.399796244562665</v>
          </cell>
          <cell r="AJ31">
            <v>1.4143860535694039</v>
          </cell>
          <cell r="AK31">
            <v>1.4343148543258701</v>
          </cell>
          <cell r="AL31">
            <v>1.4517327641736244</v>
          </cell>
          <cell r="AM31">
            <v>1.4666019914772839</v>
          </cell>
          <cell r="AN31">
            <v>1.4842144897298675</v>
          </cell>
          <cell r="AO31">
            <v>1.5019388211688123</v>
          </cell>
          <cell r="AP31">
            <v>1.5223585878560546</v>
          </cell>
          <cell r="AQ31">
            <v>1.5481960946221853</v>
          </cell>
          <cell r="AR31">
            <v>1.5716302689600372</v>
          </cell>
          <cell r="AS31">
            <v>1.597838951884857</v>
          </cell>
          <cell r="AT31">
            <v>1.6112657606025871</v>
          </cell>
          <cell r="AU31">
            <v>1.6265509228813189</v>
          </cell>
          <cell r="AV31">
            <v>1.6375942332031035</v>
          </cell>
          <cell r="AW31">
            <v>1.6531665432685401</v>
          </cell>
          <cell r="AX31">
            <v>1.668904448562456</v>
          </cell>
          <cell r="AY31">
            <v>1.6892682437627446</v>
          </cell>
          <cell r="AZ31">
            <v>1.7188129448099905</v>
          </cell>
          <cell r="BA31">
            <v>1.76219375140481</v>
          </cell>
          <cell r="BB31">
            <v>1.8241748318056623</v>
          </cell>
          <cell r="BC31">
            <v>1.914179442982854</v>
          </cell>
          <cell r="BD31">
            <v>2.0282126660741553</v>
          </cell>
          <cell r="BE31">
            <v>2.1805604865032011</v>
          </cell>
          <cell r="BF31">
            <v>2.3629391646802778</v>
          </cell>
          <cell r="BG31">
            <v>2.5947548883328704</v>
          </cell>
          <cell r="BH31">
            <v>2.8682025930416941</v>
          </cell>
          <cell r="BI31">
            <v>3.1895529223867629</v>
          </cell>
          <cell r="BJ31">
            <v>3.5513885929398392</v>
          </cell>
          <cell r="BK31">
            <v>3.9462997467870622</v>
          </cell>
          <cell r="BL31">
            <v>4.3571618133127457</v>
          </cell>
          <cell r="BM31">
            <v>4.7759009695713157</v>
          </cell>
          <cell r="BN31">
            <v>5.2039103386985293</v>
          </cell>
          <cell r="BO31">
            <v>5.5976588879717868</v>
          </cell>
          <cell r="BP31">
            <v>5.9815075529850468</v>
          </cell>
          <cell r="BQ31">
            <v>6.3452822414503514</v>
          </cell>
          <cell r="BR31">
            <v>6.7039983253087714</v>
          </cell>
          <cell r="BS31">
            <v>7.2227914465542717</v>
          </cell>
          <cell r="BT31">
            <v>7.6591592812423785</v>
          </cell>
          <cell r="BU31">
            <v>8.1623630510769409</v>
          </cell>
          <cell r="BV31">
            <v>8.7893489789010495</v>
          </cell>
          <cell r="BW31">
            <v>9.5521010584604724</v>
          </cell>
          <cell r="BX31">
            <v>10.577633328408922</v>
          </cell>
          <cell r="BY31">
            <v>11.878603945371776</v>
          </cell>
          <cell r="BZ31">
            <v>13.51203415541967</v>
          </cell>
        </row>
        <row r="32">
          <cell r="B32" t="str">
            <v>AUXILIO PARA GASTOS DE ÚTILES POR MUERTE</v>
          </cell>
          <cell r="C32">
            <v>1.2149999999999916</v>
          </cell>
          <cell r="D32">
            <v>1.2149999999999916</v>
          </cell>
          <cell r="E32">
            <v>1.2149999999999916</v>
          </cell>
          <cell r="F32">
            <v>1.2149999999999916</v>
          </cell>
          <cell r="G32">
            <v>1.2149999999999916</v>
          </cell>
          <cell r="H32">
            <v>1.2149999999999916</v>
          </cell>
          <cell r="I32">
            <v>1.2149999999999916</v>
          </cell>
          <cell r="J32">
            <v>1.2149999999999916</v>
          </cell>
          <cell r="K32">
            <v>1.2149999999999916</v>
          </cell>
          <cell r="L32">
            <v>1.2149999999999916</v>
          </cell>
          <cell r="M32">
            <v>1.2149999999999916</v>
          </cell>
          <cell r="N32">
            <v>1.2149999999999916</v>
          </cell>
          <cell r="O32">
            <v>1.2149999999999916</v>
          </cell>
          <cell r="P32">
            <v>1.2149999999999916</v>
          </cell>
          <cell r="Q32">
            <v>1.2149999999999916</v>
          </cell>
          <cell r="R32">
            <v>1.2149999999999916</v>
          </cell>
          <cell r="S32">
            <v>1.2149999999999916</v>
          </cell>
          <cell r="T32">
            <v>1.2149999999999916</v>
          </cell>
          <cell r="U32">
            <v>1.2149999999999916</v>
          </cell>
          <cell r="V32">
            <v>1.2150000000000067</v>
          </cell>
          <cell r="W32">
            <v>1.2149999999999999</v>
          </cell>
          <cell r="X32">
            <v>1.2336336502838461</v>
          </cell>
          <cell r="Y32">
            <v>1.2549034008330024</v>
          </cell>
          <cell r="Z32">
            <v>1.2738115741835121</v>
          </cell>
          <cell r="AA32">
            <v>1.2928382088962076</v>
          </cell>
          <cell r="AB32">
            <v>1.3043825741274109</v>
          </cell>
          <cell r="AC32">
            <v>1.3210645434186523</v>
          </cell>
          <cell r="AD32">
            <v>1.3327592457605</v>
          </cell>
          <cell r="AE32">
            <v>1.3470467781465878</v>
          </cell>
          <cell r="AF32">
            <v>1.3588787626844279</v>
          </cell>
          <cell r="AG32">
            <v>1.3707201485706999</v>
          </cell>
          <cell r="AH32">
            <v>1.3852169338285834</v>
          </cell>
          <cell r="AI32">
            <v>1.399796244562665</v>
          </cell>
          <cell r="AJ32">
            <v>1.4143860535694039</v>
          </cell>
          <cell r="AK32">
            <v>1.4343148543258701</v>
          </cell>
          <cell r="AL32">
            <v>1.4517327641736244</v>
          </cell>
          <cell r="AM32">
            <v>1.4666019914772839</v>
          </cell>
          <cell r="AN32">
            <v>1.4842144897298675</v>
          </cell>
          <cell r="AO32">
            <v>1.5019388211688123</v>
          </cell>
          <cell r="AP32">
            <v>1.5223585878560546</v>
          </cell>
          <cell r="AQ32">
            <v>1.5481960946221853</v>
          </cell>
          <cell r="AR32">
            <v>1.5716302689600372</v>
          </cell>
          <cell r="AS32">
            <v>1.597838951884857</v>
          </cell>
          <cell r="AT32">
            <v>1.6112657606025871</v>
          </cell>
          <cell r="AU32">
            <v>1.6265509228813189</v>
          </cell>
          <cell r="AV32">
            <v>1.6375942332031035</v>
          </cell>
          <cell r="AW32">
            <v>1.6531665432685401</v>
          </cell>
          <cell r="AX32">
            <v>1.668904448562456</v>
          </cell>
          <cell r="AY32">
            <v>1.6892682437627446</v>
          </cell>
          <cell r="AZ32">
            <v>1.7188129448099905</v>
          </cell>
          <cell r="BA32">
            <v>1.76219375140481</v>
          </cell>
          <cell r="BB32">
            <v>1.8241748318056623</v>
          </cell>
          <cell r="BC32">
            <v>1.914179442982854</v>
          </cell>
          <cell r="BD32">
            <v>2.0282126660741553</v>
          </cell>
          <cell r="BE32">
            <v>2.1805604865032011</v>
          </cell>
          <cell r="BF32">
            <v>2.3629391646802778</v>
          </cell>
          <cell r="BG32">
            <v>2.5947548883328704</v>
          </cell>
          <cell r="BH32">
            <v>2.8682025930416941</v>
          </cell>
          <cell r="BI32">
            <v>3.1895529223867629</v>
          </cell>
          <cell r="BJ32">
            <v>3.5513885929398392</v>
          </cell>
          <cell r="BK32">
            <v>3.9462997467870622</v>
          </cell>
          <cell r="BL32">
            <v>4.3571618133127457</v>
          </cell>
          <cell r="BM32">
            <v>4.7759009695713157</v>
          </cell>
          <cell r="BN32">
            <v>5.2039103386985293</v>
          </cell>
          <cell r="BO32">
            <v>5.5976588879717868</v>
          </cell>
          <cell r="BP32">
            <v>5.9815075529850468</v>
          </cell>
          <cell r="BQ32">
            <v>6.3452822414503514</v>
          </cell>
          <cell r="BR32">
            <v>6.7039983253087714</v>
          </cell>
          <cell r="BS32">
            <v>7.2227914465542717</v>
          </cell>
          <cell r="BT32">
            <v>7.6591592812423785</v>
          </cell>
          <cell r="BU32">
            <v>8.1623630510769409</v>
          </cell>
          <cell r="BV32">
            <v>8.7893489789010495</v>
          </cell>
          <cell r="BW32">
            <v>9.5521010584604724</v>
          </cell>
          <cell r="BX32">
            <v>10.577633328408922</v>
          </cell>
          <cell r="BY32">
            <v>11.878603945371776</v>
          </cell>
          <cell r="BZ32">
            <v>13.51203415541967</v>
          </cell>
        </row>
        <row r="33">
          <cell r="B33" t="str">
            <v>AUXILIO PARA GASTOS DEL HOGAR</v>
          </cell>
          <cell r="C33">
            <v>1.2149999999999916</v>
          </cell>
          <cell r="D33">
            <v>1.2149999999999916</v>
          </cell>
          <cell r="E33">
            <v>1.2149999999999916</v>
          </cell>
          <cell r="F33">
            <v>1.2149999999999916</v>
          </cell>
          <cell r="G33">
            <v>1.2149999999999916</v>
          </cell>
          <cell r="H33">
            <v>1.2149999999999916</v>
          </cell>
          <cell r="I33">
            <v>1.2149999999999916</v>
          </cell>
          <cell r="J33">
            <v>1.2149999999999916</v>
          </cell>
          <cell r="K33">
            <v>1.2149999999999916</v>
          </cell>
          <cell r="L33">
            <v>1.2149999999999916</v>
          </cell>
          <cell r="M33">
            <v>1.2149999999999916</v>
          </cell>
          <cell r="N33">
            <v>1.2149999999999916</v>
          </cell>
          <cell r="O33">
            <v>1.2149999999999916</v>
          </cell>
          <cell r="P33">
            <v>1.2149999999999916</v>
          </cell>
          <cell r="Q33">
            <v>1.2149999999999916</v>
          </cell>
          <cell r="R33">
            <v>1.2149999999999916</v>
          </cell>
          <cell r="S33">
            <v>1.2149999999999916</v>
          </cell>
          <cell r="T33">
            <v>1.2149999999999916</v>
          </cell>
          <cell r="U33">
            <v>1.2149999999999916</v>
          </cell>
          <cell r="V33">
            <v>1.2150000000000067</v>
          </cell>
          <cell r="W33">
            <v>1.2149999999999999</v>
          </cell>
          <cell r="X33">
            <v>1.2336336502838461</v>
          </cell>
          <cell r="Y33">
            <v>1.2549034008330024</v>
          </cell>
          <cell r="Z33">
            <v>1.2738115741835121</v>
          </cell>
          <cell r="AA33">
            <v>1.2928382088962076</v>
          </cell>
          <cell r="AB33">
            <v>1.3043825741274109</v>
          </cell>
          <cell r="AC33">
            <v>1.3210645434186523</v>
          </cell>
          <cell r="AD33">
            <v>1.3327592457605</v>
          </cell>
          <cell r="AE33">
            <v>1.3470467781465878</v>
          </cell>
          <cell r="AF33">
            <v>1.3588787626844279</v>
          </cell>
          <cell r="AG33">
            <v>1.3707201485706999</v>
          </cell>
          <cell r="AH33">
            <v>1.3852169338285834</v>
          </cell>
          <cell r="AI33">
            <v>1.399796244562665</v>
          </cell>
          <cell r="AJ33">
            <v>1.4143860535694039</v>
          </cell>
          <cell r="AK33">
            <v>1.4343148543258701</v>
          </cell>
          <cell r="AL33">
            <v>1.4517327641736244</v>
          </cell>
          <cell r="AM33">
            <v>1.4666019914772839</v>
          </cell>
          <cell r="AN33">
            <v>1.4842144897298675</v>
          </cell>
          <cell r="AO33">
            <v>1.5019388211688123</v>
          </cell>
          <cell r="AP33">
            <v>1.5223585878560546</v>
          </cell>
          <cell r="AQ33">
            <v>1.5481960946221853</v>
          </cell>
          <cell r="AR33">
            <v>1.5716302689600372</v>
          </cell>
          <cell r="AS33">
            <v>1.597838951884857</v>
          </cell>
          <cell r="AT33">
            <v>1.6112657606025871</v>
          </cell>
          <cell r="AU33">
            <v>1.6265509228813189</v>
          </cell>
          <cell r="AV33">
            <v>1.6375942332031035</v>
          </cell>
          <cell r="AW33">
            <v>1.6531665432685401</v>
          </cell>
          <cell r="AX33">
            <v>1.668904448562456</v>
          </cell>
          <cell r="AY33">
            <v>1.6892682437627446</v>
          </cell>
          <cell r="AZ33">
            <v>1.7188129448099905</v>
          </cell>
          <cell r="BA33">
            <v>1.76219375140481</v>
          </cell>
          <cell r="BB33">
            <v>1.8241748318056623</v>
          </cell>
          <cell r="BC33">
            <v>1.914179442982854</v>
          </cell>
          <cell r="BD33">
            <v>2.0282126660741553</v>
          </cell>
          <cell r="BE33">
            <v>2.1805604865032011</v>
          </cell>
          <cell r="BF33">
            <v>2.3629391646802778</v>
          </cell>
          <cell r="BG33">
            <v>2.5947548883328704</v>
          </cell>
          <cell r="BH33">
            <v>2.8682025930416941</v>
          </cell>
          <cell r="BI33">
            <v>3.1895529223867629</v>
          </cell>
          <cell r="BJ33">
            <v>3.5513885929398392</v>
          </cell>
          <cell r="BK33">
            <v>3.9462997467870622</v>
          </cell>
          <cell r="BL33">
            <v>4.3571618133127457</v>
          </cell>
          <cell r="BM33">
            <v>4.7759009695713157</v>
          </cell>
          <cell r="BN33">
            <v>5.2039103386985293</v>
          </cell>
          <cell r="BO33">
            <v>5.5976588879717868</v>
          </cell>
          <cell r="BP33">
            <v>5.9815075529850468</v>
          </cell>
          <cell r="BQ33">
            <v>6.3452822414503514</v>
          </cell>
          <cell r="BR33">
            <v>6.7039983253087714</v>
          </cell>
          <cell r="BS33">
            <v>7.2227914465542717</v>
          </cell>
          <cell r="BT33">
            <v>7.6591592812423785</v>
          </cell>
          <cell r="BU33">
            <v>8.1623630510769409</v>
          </cell>
          <cell r="BV33">
            <v>8.7893489789010495</v>
          </cell>
          <cell r="BW33">
            <v>9.5521010584604724</v>
          </cell>
          <cell r="BX33">
            <v>10.577633328408922</v>
          </cell>
          <cell r="BY33">
            <v>11.878603945371776</v>
          </cell>
          <cell r="BZ33">
            <v>13.51203415541967</v>
          </cell>
        </row>
        <row r="34">
          <cell r="B34" t="str">
            <v>AUXILIO PARA MOVILIZACIÓN POR MUERTE</v>
          </cell>
          <cell r="C34">
            <v>1.2149999999999916</v>
          </cell>
          <cell r="D34">
            <v>1.2149999999999916</v>
          </cell>
          <cell r="E34">
            <v>1.2149999999999916</v>
          </cell>
          <cell r="F34">
            <v>1.2149999999999916</v>
          </cell>
          <cell r="G34">
            <v>1.2149999999999916</v>
          </cell>
          <cell r="H34">
            <v>1.2149999999999916</v>
          </cell>
          <cell r="I34">
            <v>1.2149999999999916</v>
          </cell>
          <cell r="J34">
            <v>1.2149999999999916</v>
          </cell>
          <cell r="K34">
            <v>1.2149999999999916</v>
          </cell>
          <cell r="L34">
            <v>1.2149999999999916</v>
          </cell>
          <cell r="M34">
            <v>1.2149999999999916</v>
          </cell>
          <cell r="N34">
            <v>1.2149999999999916</v>
          </cell>
          <cell r="O34">
            <v>1.2149999999999916</v>
          </cell>
          <cell r="P34">
            <v>1.2149999999999916</v>
          </cell>
          <cell r="Q34">
            <v>1.2149999999999916</v>
          </cell>
          <cell r="R34">
            <v>1.2149999999999916</v>
          </cell>
          <cell r="S34">
            <v>1.2149999999999916</v>
          </cell>
          <cell r="T34">
            <v>1.2149999999999916</v>
          </cell>
          <cell r="U34">
            <v>1.2149999999999916</v>
          </cell>
          <cell r="V34">
            <v>1.2150000000000067</v>
          </cell>
          <cell r="W34">
            <v>1.2149999999999999</v>
          </cell>
          <cell r="X34">
            <v>1.2336336502838461</v>
          </cell>
          <cell r="Y34">
            <v>1.2549034008330024</v>
          </cell>
          <cell r="Z34">
            <v>1.2738115741835121</v>
          </cell>
          <cell r="AA34">
            <v>1.2928382088962076</v>
          </cell>
          <cell r="AB34">
            <v>1.3043825741274109</v>
          </cell>
          <cell r="AC34">
            <v>1.3210645434186523</v>
          </cell>
          <cell r="AD34">
            <v>1.3327592457605</v>
          </cell>
          <cell r="AE34">
            <v>1.3470467781465878</v>
          </cell>
          <cell r="AF34">
            <v>1.3588787626844279</v>
          </cell>
          <cell r="AG34">
            <v>1.3707201485706999</v>
          </cell>
          <cell r="AH34">
            <v>1.3852169338285834</v>
          </cell>
          <cell r="AI34">
            <v>1.399796244562665</v>
          </cell>
          <cell r="AJ34">
            <v>1.4143860535694039</v>
          </cell>
          <cell r="AK34">
            <v>1.4343148543258701</v>
          </cell>
          <cell r="AL34">
            <v>1.4517327641736244</v>
          </cell>
          <cell r="AM34">
            <v>1.4666019914772839</v>
          </cell>
          <cell r="AN34">
            <v>1.4842144897298675</v>
          </cell>
          <cell r="AO34">
            <v>1.5019388211688123</v>
          </cell>
          <cell r="AP34">
            <v>1.5223585878560546</v>
          </cell>
          <cell r="AQ34">
            <v>1.5481960946221853</v>
          </cell>
          <cell r="AR34">
            <v>1.5716302689600372</v>
          </cell>
          <cell r="AS34">
            <v>1.597838951884857</v>
          </cell>
          <cell r="AT34">
            <v>1.6112657606025871</v>
          </cell>
          <cell r="AU34">
            <v>1.6265509228813189</v>
          </cell>
          <cell r="AV34">
            <v>1.6375942332031035</v>
          </cell>
          <cell r="AW34">
            <v>1.6531665432685401</v>
          </cell>
          <cell r="AX34">
            <v>1.668904448562456</v>
          </cell>
          <cell r="AY34">
            <v>1.6892682437627446</v>
          </cell>
          <cell r="AZ34">
            <v>1.7188129448099905</v>
          </cell>
          <cell r="BA34">
            <v>1.76219375140481</v>
          </cell>
          <cell r="BB34">
            <v>1.8241748318056623</v>
          </cell>
          <cell r="BC34">
            <v>1.914179442982854</v>
          </cell>
          <cell r="BD34">
            <v>2.0282126660741553</v>
          </cell>
          <cell r="BE34">
            <v>2.1805604865032011</v>
          </cell>
          <cell r="BF34">
            <v>2.3629391646802778</v>
          </cell>
          <cell r="BG34">
            <v>2.5947548883328704</v>
          </cell>
          <cell r="BH34">
            <v>2.8682025930416941</v>
          </cell>
          <cell r="BI34">
            <v>3.1895529223867629</v>
          </cell>
          <cell r="BJ34">
            <v>3.5513885929398392</v>
          </cell>
          <cell r="BK34">
            <v>3.9462997467870622</v>
          </cell>
          <cell r="BL34">
            <v>4.3571618133127457</v>
          </cell>
          <cell r="BM34">
            <v>4.7759009695713157</v>
          </cell>
          <cell r="BN34">
            <v>5.2039103386985293</v>
          </cell>
          <cell r="BO34">
            <v>5.5976588879717868</v>
          </cell>
          <cell r="BP34">
            <v>5.9815075529850468</v>
          </cell>
          <cell r="BQ34">
            <v>6.3452822414503514</v>
          </cell>
          <cell r="BR34">
            <v>6.7039983253087714</v>
          </cell>
          <cell r="BS34">
            <v>7.2227914465542717</v>
          </cell>
          <cell r="BT34">
            <v>7.6591592812423785</v>
          </cell>
          <cell r="BU34">
            <v>8.1623630510769409</v>
          </cell>
          <cell r="BV34">
            <v>8.7893489789010495</v>
          </cell>
          <cell r="BW34">
            <v>9.5521010584604724</v>
          </cell>
          <cell r="BX34">
            <v>10.577633328408922</v>
          </cell>
          <cell r="BY34">
            <v>11.878603945371776</v>
          </cell>
          <cell r="BZ34">
            <v>13.51203415541967</v>
          </cell>
        </row>
        <row r="35">
          <cell r="B35" t="str">
            <v>AUXILIO PARA PAGO DE SERVICIOS PÚBLICOS POR MUERTE</v>
          </cell>
          <cell r="C35">
            <v>1.2149999999999916</v>
          </cell>
          <cell r="D35">
            <v>1.2149999999999916</v>
          </cell>
          <cell r="E35">
            <v>1.2149999999999916</v>
          </cell>
          <cell r="F35">
            <v>1.2149999999999916</v>
          </cell>
          <cell r="G35">
            <v>1.2149999999999916</v>
          </cell>
          <cell r="H35">
            <v>1.2149999999999916</v>
          </cell>
          <cell r="I35">
            <v>1.2149999999999916</v>
          </cell>
          <cell r="J35">
            <v>1.2149999999999916</v>
          </cell>
          <cell r="K35">
            <v>1.2149999999999916</v>
          </cell>
          <cell r="L35">
            <v>1.2149999999999916</v>
          </cell>
          <cell r="M35">
            <v>1.2149999999999916</v>
          </cell>
          <cell r="N35">
            <v>1.2149999999999916</v>
          </cell>
          <cell r="O35">
            <v>1.2149999999999916</v>
          </cell>
          <cell r="P35">
            <v>1.2149999999999916</v>
          </cell>
          <cell r="Q35">
            <v>1.2149999999999916</v>
          </cell>
          <cell r="R35">
            <v>1.2149999999999916</v>
          </cell>
          <cell r="S35">
            <v>1.2149999999999916</v>
          </cell>
          <cell r="T35">
            <v>1.2149999999999916</v>
          </cell>
          <cell r="U35">
            <v>1.2149999999999916</v>
          </cell>
          <cell r="V35">
            <v>1.2150000000000067</v>
          </cell>
          <cell r="W35">
            <v>1.2149999999999999</v>
          </cell>
          <cell r="X35">
            <v>1.2336336502838461</v>
          </cell>
          <cell r="Y35">
            <v>1.2549034008330024</v>
          </cell>
          <cell r="Z35">
            <v>1.2738115741835121</v>
          </cell>
          <cell r="AA35">
            <v>1.2928382088962076</v>
          </cell>
          <cell r="AB35">
            <v>1.3043825741274109</v>
          </cell>
          <cell r="AC35">
            <v>1.3210645434186523</v>
          </cell>
          <cell r="AD35">
            <v>1.3327592457605</v>
          </cell>
          <cell r="AE35">
            <v>1.3470467781465878</v>
          </cell>
          <cell r="AF35">
            <v>1.3588787626844279</v>
          </cell>
          <cell r="AG35">
            <v>1.3707201485706999</v>
          </cell>
          <cell r="AH35">
            <v>1.3852169338285834</v>
          </cell>
          <cell r="AI35">
            <v>1.399796244562665</v>
          </cell>
          <cell r="AJ35">
            <v>1.4143860535694039</v>
          </cell>
          <cell r="AK35">
            <v>1.4343148543258701</v>
          </cell>
          <cell r="AL35">
            <v>1.4517327641736244</v>
          </cell>
          <cell r="AM35">
            <v>1.4666019914772839</v>
          </cell>
          <cell r="AN35">
            <v>1.4842144897298675</v>
          </cell>
          <cell r="AO35">
            <v>1.5019388211688123</v>
          </cell>
          <cell r="AP35">
            <v>1.5223585878560546</v>
          </cell>
          <cell r="AQ35">
            <v>1.5481960946221853</v>
          </cell>
          <cell r="AR35">
            <v>1.5716302689600372</v>
          </cell>
          <cell r="AS35">
            <v>1.597838951884857</v>
          </cell>
          <cell r="AT35">
            <v>1.6112657606025871</v>
          </cell>
          <cell r="AU35">
            <v>1.6265509228813189</v>
          </cell>
          <cell r="AV35">
            <v>1.6375942332031035</v>
          </cell>
          <cell r="AW35">
            <v>1.6531665432685401</v>
          </cell>
          <cell r="AX35">
            <v>1.668904448562456</v>
          </cell>
          <cell r="AY35">
            <v>1.6892682437627446</v>
          </cell>
          <cell r="AZ35">
            <v>1.7188129448099905</v>
          </cell>
          <cell r="BA35">
            <v>1.76219375140481</v>
          </cell>
          <cell r="BB35">
            <v>1.8241748318056623</v>
          </cell>
          <cell r="BC35">
            <v>1.914179442982854</v>
          </cell>
          <cell r="BD35">
            <v>2.0282126660741553</v>
          </cell>
          <cell r="BE35">
            <v>2.1805604865032011</v>
          </cell>
          <cell r="BF35">
            <v>2.3629391646802778</v>
          </cell>
          <cell r="BG35">
            <v>2.5947548883328704</v>
          </cell>
          <cell r="BH35">
            <v>2.8682025930416941</v>
          </cell>
          <cell r="BI35">
            <v>3.1895529223867629</v>
          </cell>
          <cell r="BJ35">
            <v>3.5513885929398392</v>
          </cell>
          <cell r="BK35">
            <v>3.9462997467870622</v>
          </cell>
          <cell r="BL35">
            <v>4.3571618133127457</v>
          </cell>
          <cell r="BM35">
            <v>4.7759009695713157</v>
          </cell>
          <cell r="BN35">
            <v>5.2039103386985293</v>
          </cell>
          <cell r="BO35">
            <v>5.5976588879717868</v>
          </cell>
          <cell r="BP35">
            <v>5.9815075529850468</v>
          </cell>
          <cell r="BQ35">
            <v>6.3452822414503514</v>
          </cell>
          <cell r="BR35">
            <v>6.7039983253087714</v>
          </cell>
          <cell r="BS35">
            <v>7.2227914465542717</v>
          </cell>
          <cell r="BT35">
            <v>7.6591592812423785</v>
          </cell>
          <cell r="BU35">
            <v>8.1623630510769409</v>
          </cell>
          <cell r="BV35">
            <v>8.7893489789010495</v>
          </cell>
          <cell r="BW35">
            <v>9.5521010584604724</v>
          </cell>
          <cell r="BX35">
            <v>10.577633328408922</v>
          </cell>
          <cell r="BY35">
            <v>11.878603945371776</v>
          </cell>
          <cell r="BZ35">
            <v>13.51203415541967</v>
          </cell>
        </row>
        <row r="36">
          <cell r="B36" t="str">
            <v>AUXILIO PARA REHABILITACIÓN  POR INCAPACIDAD TOTAL Y PERMANENTE</v>
          </cell>
          <cell r="C36">
            <v>0.128</v>
          </cell>
          <cell r="D36">
            <v>0.128</v>
          </cell>
          <cell r="E36">
            <v>0.128</v>
          </cell>
          <cell r="F36">
            <v>0.128</v>
          </cell>
          <cell r="G36">
            <v>0.128</v>
          </cell>
          <cell r="H36">
            <v>0.128</v>
          </cell>
          <cell r="I36">
            <v>0.128</v>
          </cell>
          <cell r="J36">
            <v>0.128</v>
          </cell>
          <cell r="K36">
            <v>0.128</v>
          </cell>
          <cell r="L36">
            <v>0.128</v>
          </cell>
          <cell r="M36">
            <v>0.128</v>
          </cell>
          <cell r="N36">
            <v>0.128</v>
          </cell>
          <cell r="O36">
            <v>0.128</v>
          </cell>
          <cell r="P36">
            <v>0.128</v>
          </cell>
          <cell r="Q36">
            <v>0.128</v>
          </cell>
          <cell r="R36">
            <v>0.128</v>
          </cell>
          <cell r="S36">
            <v>0.128</v>
          </cell>
          <cell r="T36">
            <v>0.128</v>
          </cell>
          <cell r="U36">
            <v>0.128</v>
          </cell>
          <cell r="V36">
            <v>0.128</v>
          </cell>
          <cell r="W36">
            <v>0.128</v>
          </cell>
          <cell r="X36">
            <v>0.12</v>
          </cell>
          <cell r="Y36">
            <v>0.11200000000000002</v>
          </cell>
          <cell r="Z36">
            <v>0.10400000000000001</v>
          </cell>
          <cell r="AA36">
            <v>9.6000000000000002E-2</v>
          </cell>
          <cell r="AB36">
            <v>9.6000000000000002E-2</v>
          </cell>
          <cell r="AC36">
            <v>9.6000000000000002E-2</v>
          </cell>
          <cell r="AD36">
            <v>8.8000000000000009E-2</v>
          </cell>
          <cell r="AE36">
            <v>8.8000000000000009E-2</v>
          </cell>
          <cell r="AF36">
            <v>9.6000000000000002E-2</v>
          </cell>
          <cell r="AG36">
            <v>9.6000000000000002E-2</v>
          </cell>
          <cell r="AH36">
            <v>9.6000000000000002E-2</v>
          </cell>
          <cell r="AI36">
            <v>0.10400000000000001</v>
          </cell>
          <cell r="AJ36">
            <v>0.11200000000000002</v>
          </cell>
          <cell r="AK36">
            <v>0.12</v>
          </cell>
          <cell r="AL36">
            <v>0.128</v>
          </cell>
          <cell r="AM36">
            <v>0.13600000000000001</v>
          </cell>
          <cell r="AN36">
            <v>0.14399999999999999</v>
          </cell>
          <cell r="AO36">
            <v>0.16000000000000003</v>
          </cell>
          <cell r="AP36">
            <v>0.17600000000000002</v>
          </cell>
          <cell r="AQ36">
            <v>0.18400000000000002</v>
          </cell>
          <cell r="AR36">
            <v>0.2</v>
          </cell>
          <cell r="AS36">
            <v>0.22400000000000003</v>
          </cell>
          <cell r="AT36">
            <v>0.24</v>
          </cell>
          <cell r="AU36">
            <v>0.25600000000000001</v>
          </cell>
          <cell r="AV36">
            <v>0.27999999999999997</v>
          </cell>
          <cell r="AW36">
            <v>0.30400000000000005</v>
          </cell>
          <cell r="AX36">
            <v>0.32800000000000001</v>
          </cell>
          <cell r="AY36">
            <v>0.35200000000000004</v>
          </cell>
          <cell r="AZ36">
            <v>0.376</v>
          </cell>
          <cell r="BA36">
            <v>0.40800000000000003</v>
          </cell>
          <cell r="BB36">
            <v>0.43200000000000005</v>
          </cell>
          <cell r="BC36">
            <v>0.46399999999999997</v>
          </cell>
          <cell r="BD36">
            <v>0.496</v>
          </cell>
          <cell r="BE36">
            <v>0.52800000000000002</v>
          </cell>
          <cell r="BF36">
            <v>0.55999999999999994</v>
          </cell>
          <cell r="BG36">
            <v>0.59199999999999997</v>
          </cell>
          <cell r="BH36">
            <v>0.63200000000000012</v>
          </cell>
          <cell r="BI36">
            <v>0.67200000000000004</v>
          </cell>
          <cell r="BJ36">
            <v>0.70400000000000007</v>
          </cell>
          <cell r="BK36">
            <v>0.74400000000000011</v>
          </cell>
          <cell r="BL36">
            <v>0.79200000000000004</v>
          </cell>
          <cell r="BM36">
            <v>0.83200000000000007</v>
          </cell>
          <cell r="BN36">
            <v>0.872</v>
          </cell>
          <cell r="BO36">
            <v>0.91999999999999993</v>
          </cell>
          <cell r="BP36">
            <v>0.96799999999999997</v>
          </cell>
          <cell r="BQ36">
            <v>1.016</v>
          </cell>
          <cell r="BR36">
            <v>1.0640000000000001</v>
          </cell>
          <cell r="BS36">
            <v>1.1119999999999999</v>
          </cell>
          <cell r="BT36">
            <v>1.1599999999999999</v>
          </cell>
          <cell r="BU36">
            <v>1.2160000000000002</v>
          </cell>
          <cell r="BV36">
            <v>1.2160000000000002</v>
          </cell>
          <cell r="BW36">
            <v>1.2160000000000002</v>
          </cell>
          <cell r="BX36">
            <v>1.2160000000000002</v>
          </cell>
          <cell r="BY36">
            <v>1.2160000000000002</v>
          </cell>
          <cell r="BZ36">
            <v>1.2160000000000002</v>
          </cell>
        </row>
        <row r="37">
          <cell r="B37" t="str">
            <v>AUXILIO PARA REMODELACIÓN DE VIVIENDA POR INCAPACIDAD TOTAL Y PERMANENTE</v>
          </cell>
          <cell r="C37">
            <v>0.128</v>
          </cell>
          <cell r="D37">
            <v>0.128</v>
          </cell>
          <cell r="E37">
            <v>0.128</v>
          </cell>
          <cell r="F37">
            <v>0.128</v>
          </cell>
          <cell r="G37">
            <v>0.128</v>
          </cell>
          <cell r="H37">
            <v>0.128</v>
          </cell>
          <cell r="I37">
            <v>0.128</v>
          </cell>
          <cell r="J37">
            <v>0.128</v>
          </cell>
          <cell r="K37">
            <v>0.128</v>
          </cell>
          <cell r="L37">
            <v>0.128</v>
          </cell>
          <cell r="M37">
            <v>0.128</v>
          </cell>
          <cell r="N37">
            <v>0.128</v>
          </cell>
          <cell r="O37">
            <v>0.128</v>
          </cell>
          <cell r="P37">
            <v>0.128</v>
          </cell>
          <cell r="Q37">
            <v>0.128</v>
          </cell>
          <cell r="R37">
            <v>0.128</v>
          </cell>
          <cell r="S37">
            <v>0.128</v>
          </cell>
          <cell r="T37">
            <v>0.128</v>
          </cell>
          <cell r="U37">
            <v>0.128</v>
          </cell>
          <cell r="V37">
            <v>0.128</v>
          </cell>
          <cell r="W37">
            <v>0.128</v>
          </cell>
          <cell r="X37">
            <v>0.12</v>
          </cell>
          <cell r="Y37">
            <v>0.11200000000000002</v>
          </cell>
          <cell r="Z37">
            <v>0.10400000000000001</v>
          </cell>
          <cell r="AA37">
            <v>9.6000000000000002E-2</v>
          </cell>
          <cell r="AB37">
            <v>9.6000000000000002E-2</v>
          </cell>
          <cell r="AC37">
            <v>9.6000000000000002E-2</v>
          </cell>
          <cell r="AD37">
            <v>8.8000000000000009E-2</v>
          </cell>
          <cell r="AE37">
            <v>8.8000000000000009E-2</v>
          </cell>
          <cell r="AF37">
            <v>9.6000000000000002E-2</v>
          </cell>
          <cell r="AG37">
            <v>9.6000000000000002E-2</v>
          </cell>
          <cell r="AH37">
            <v>9.6000000000000002E-2</v>
          </cell>
          <cell r="AI37">
            <v>0.10400000000000001</v>
          </cell>
          <cell r="AJ37">
            <v>0.11200000000000002</v>
          </cell>
          <cell r="AK37">
            <v>0.12</v>
          </cell>
          <cell r="AL37">
            <v>0.128</v>
          </cell>
          <cell r="AM37">
            <v>0.13600000000000001</v>
          </cell>
          <cell r="AN37">
            <v>0.14399999999999999</v>
          </cell>
          <cell r="AO37">
            <v>0.16000000000000003</v>
          </cell>
          <cell r="AP37">
            <v>0.17600000000000002</v>
          </cell>
          <cell r="AQ37">
            <v>0.18400000000000002</v>
          </cell>
          <cell r="AR37">
            <v>0.2</v>
          </cell>
          <cell r="AS37">
            <v>0.22400000000000003</v>
          </cell>
          <cell r="AT37">
            <v>0.24</v>
          </cell>
          <cell r="AU37">
            <v>0.25600000000000001</v>
          </cell>
          <cell r="AV37">
            <v>0.27999999999999997</v>
          </cell>
          <cell r="AW37">
            <v>0.30400000000000005</v>
          </cell>
          <cell r="AX37">
            <v>0.32800000000000001</v>
          </cell>
          <cell r="AY37">
            <v>0.35200000000000004</v>
          </cell>
          <cell r="AZ37">
            <v>0.376</v>
          </cell>
          <cell r="BA37">
            <v>0.40800000000000003</v>
          </cell>
          <cell r="BB37">
            <v>0.43200000000000005</v>
          </cell>
          <cell r="BC37">
            <v>0.46399999999999997</v>
          </cell>
          <cell r="BD37">
            <v>0.496</v>
          </cell>
          <cell r="BE37">
            <v>0.52800000000000002</v>
          </cell>
          <cell r="BF37">
            <v>0.55999999999999994</v>
          </cell>
          <cell r="BG37">
            <v>0.59199999999999997</v>
          </cell>
          <cell r="BH37">
            <v>0.63200000000000012</v>
          </cell>
          <cell r="BI37">
            <v>0.67200000000000004</v>
          </cell>
          <cell r="BJ37">
            <v>0.70400000000000007</v>
          </cell>
          <cell r="BK37">
            <v>0.74400000000000011</v>
          </cell>
          <cell r="BL37">
            <v>0.79200000000000004</v>
          </cell>
          <cell r="BM37">
            <v>0.83200000000000007</v>
          </cell>
          <cell r="BN37">
            <v>0.872</v>
          </cell>
          <cell r="BO37">
            <v>0.91999999999999993</v>
          </cell>
          <cell r="BP37">
            <v>0.96799999999999997</v>
          </cell>
          <cell r="BQ37">
            <v>1.016</v>
          </cell>
          <cell r="BR37">
            <v>1.0640000000000001</v>
          </cell>
          <cell r="BS37">
            <v>1.1119999999999999</v>
          </cell>
          <cell r="BT37">
            <v>1.1599999999999999</v>
          </cell>
          <cell r="BU37">
            <v>1.2160000000000002</v>
          </cell>
          <cell r="BV37">
            <v>1.2160000000000002</v>
          </cell>
          <cell r="BW37">
            <v>1.2160000000000002</v>
          </cell>
          <cell r="BX37">
            <v>1.2160000000000002</v>
          </cell>
          <cell r="BY37">
            <v>1.2160000000000002</v>
          </cell>
          <cell r="BZ37">
            <v>1.2160000000000002</v>
          </cell>
        </row>
        <row r="38">
          <cell r="B38" t="str">
            <v>AUXILIO PARA REPATRIACIÓN DE CADAVER</v>
          </cell>
          <cell r="C38">
            <v>7.4520000000000003E-2</v>
          </cell>
          <cell r="D38">
            <v>7.4520000000000003E-2</v>
          </cell>
          <cell r="E38">
            <v>7.4520000000000003E-2</v>
          </cell>
          <cell r="F38">
            <v>7.4520000000000003E-2</v>
          </cell>
          <cell r="G38">
            <v>7.4520000000000003E-2</v>
          </cell>
          <cell r="H38">
            <v>7.4520000000000003E-2</v>
          </cell>
          <cell r="I38">
            <v>7.4520000000000003E-2</v>
          </cell>
          <cell r="J38">
            <v>7.4520000000000003E-2</v>
          </cell>
          <cell r="K38">
            <v>7.4520000000000003E-2</v>
          </cell>
          <cell r="L38">
            <v>7.4520000000000003E-2</v>
          </cell>
          <cell r="M38">
            <v>7.4520000000000003E-2</v>
          </cell>
          <cell r="N38">
            <v>7.4520000000000003E-2</v>
          </cell>
          <cell r="O38">
            <v>7.4520000000000003E-2</v>
          </cell>
          <cell r="P38">
            <v>7.4520000000000003E-2</v>
          </cell>
          <cell r="Q38">
            <v>7.4520000000000003E-2</v>
          </cell>
          <cell r="R38">
            <v>7.4520000000000003E-2</v>
          </cell>
          <cell r="S38">
            <v>7.4520000000000003E-2</v>
          </cell>
          <cell r="T38">
            <v>7.4520000000000003E-2</v>
          </cell>
          <cell r="U38">
            <v>7.4520000000000003E-2</v>
          </cell>
          <cell r="V38">
            <v>7.4520000000000003E-2</v>
          </cell>
          <cell r="W38">
            <v>7.4520000000000003E-2</v>
          </cell>
          <cell r="X38">
            <v>7.4520000000000003E-2</v>
          </cell>
          <cell r="Y38">
            <v>7.4520000000000003E-2</v>
          </cell>
          <cell r="Z38">
            <v>7.4520000000000003E-2</v>
          </cell>
          <cell r="AA38">
            <v>7.4520000000000003E-2</v>
          </cell>
          <cell r="AB38">
            <v>7.4520000000000003E-2</v>
          </cell>
          <cell r="AC38">
            <v>7.4520000000000003E-2</v>
          </cell>
          <cell r="AD38">
            <v>7.4520000000000003E-2</v>
          </cell>
          <cell r="AE38">
            <v>7.4520000000000003E-2</v>
          </cell>
          <cell r="AF38">
            <v>7.4520000000000003E-2</v>
          </cell>
          <cell r="AG38">
            <v>7.4520000000000003E-2</v>
          </cell>
          <cell r="AH38">
            <v>7.4520000000000003E-2</v>
          </cell>
          <cell r="AI38">
            <v>7.4520000000000003E-2</v>
          </cell>
          <cell r="AJ38">
            <v>7.4520000000000003E-2</v>
          </cell>
          <cell r="AK38">
            <v>7.4520000000000003E-2</v>
          </cell>
          <cell r="AL38">
            <v>7.4520000000000003E-2</v>
          </cell>
          <cell r="AM38">
            <v>7.4520000000000003E-2</v>
          </cell>
          <cell r="AN38">
            <v>7.4520000000000003E-2</v>
          </cell>
          <cell r="AO38">
            <v>7.4520000000000003E-2</v>
          </cell>
          <cell r="AP38">
            <v>7.4520000000000003E-2</v>
          </cell>
          <cell r="AQ38">
            <v>7.4520000000000003E-2</v>
          </cell>
          <cell r="AR38">
            <v>7.4520000000000003E-2</v>
          </cell>
          <cell r="AS38">
            <v>7.4520000000000003E-2</v>
          </cell>
          <cell r="AT38">
            <v>7.4520000000000003E-2</v>
          </cell>
          <cell r="AU38">
            <v>7.4520000000000003E-2</v>
          </cell>
          <cell r="AV38">
            <v>7.4520000000000003E-2</v>
          </cell>
          <cell r="AW38">
            <v>7.4520000000000003E-2</v>
          </cell>
          <cell r="AX38">
            <v>7.4520000000000003E-2</v>
          </cell>
          <cell r="AY38">
            <v>7.4520000000000003E-2</v>
          </cell>
          <cell r="AZ38">
            <v>7.4520000000000003E-2</v>
          </cell>
          <cell r="BA38">
            <v>7.4520000000000003E-2</v>
          </cell>
          <cell r="BB38">
            <v>7.4520000000000003E-2</v>
          </cell>
          <cell r="BC38">
            <v>7.4520000000000003E-2</v>
          </cell>
          <cell r="BD38">
            <v>7.4520000000000003E-2</v>
          </cell>
          <cell r="BE38">
            <v>7.4520000000000003E-2</v>
          </cell>
          <cell r="BF38">
            <v>7.4520000000000003E-2</v>
          </cell>
          <cell r="BG38">
            <v>7.4520000000000003E-2</v>
          </cell>
          <cell r="BH38">
            <v>7.4520000000000003E-2</v>
          </cell>
          <cell r="BI38">
            <v>7.4520000000000003E-2</v>
          </cell>
          <cell r="BJ38">
            <v>7.4520000000000003E-2</v>
          </cell>
          <cell r="BK38">
            <v>7.4520000000000003E-2</v>
          </cell>
          <cell r="BL38">
            <v>7.4520000000000003E-2</v>
          </cell>
          <cell r="BM38">
            <v>7.4520000000000003E-2</v>
          </cell>
          <cell r="BN38">
            <v>7.4520000000000003E-2</v>
          </cell>
          <cell r="BO38">
            <v>7.4520000000000003E-2</v>
          </cell>
          <cell r="BP38">
            <v>7.4520000000000003E-2</v>
          </cell>
          <cell r="BQ38">
            <v>7.4520000000000003E-2</v>
          </cell>
          <cell r="BR38">
            <v>7.4520000000000003E-2</v>
          </cell>
          <cell r="BS38">
            <v>7.4520000000000003E-2</v>
          </cell>
          <cell r="BT38">
            <v>7.4520000000000003E-2</v>
          </cell>
          <cell r="BU38">
            <v>7.4520000000000003E-2</v>
          </cell>
          <cell r="BV38">
            <v>7.4520000000000003E-2</v>
          </cell>
          <cell r="BW38">
            <v>7.4520000000000003E-2</v>
          </cell>
          <cell r="BX38">
            <v>7.4520000000000003E-2</v>
          </cell>
          <cell r="BY38">
            <v>7.4520000000000003E-2</v>
          </cell>
          <cell r="BZ38">
            <v>7.4520000000000003E-2</v>
          </cell>
        </row>
        <row r="39">
          <cell r="B39" t="str">
            <v>AUXILIO POR ENFERMEDADES GRAVES</v>
          </cell>
          <cell r="C39">
            <v>1.0740000000000003</v>
          </cell>
          <cell r="D39">
            <v>1.0740000000000003</v>
          </cell>
          <cell r="E39">
            <v>1.0740000000000003</v>
          </cell>
          <cell r="F39">
            <v>1.0740000000000003</v>
          </cell>
          <cell r="G39">
            <v>1.0740000000000003</v>
          </cell>
          <cell r="H39">
            <v>1.0740000000000003</v>
          </cell>
          <cell r="I39">
            <v>1.0740000000000003</v>
          </cell>
          <cell r="J39">
            <v>1.0740000000000003</v>
          </cell>
          <cell r="K39">
            <v>1.0740000000000003</v>
          </cell>
          <cell r="L39">
            <v>1.0740000000000003</v>
          </cell>
          <cell r="M39">
            <v>1.0740000000000003</v>
          </cell>
          <cell r="N39">
            <v>1.0740000000000003</v>
          </cell>
          <cell r="O39">
            <v>1.0740000000000003</v>
          </cell>
          <cell r="P39">
            <v>1.0740000000000003</v>
          </cell>
          <cell r="Q39">
            <v>1.0740000000000003</v>
          </cell>
          <cell r="R39">
            <v>1.0740000000000003</v>
          </cell>
          <cell r="S39">
            <v>1.0740000000000003</v>
          </cell>
          <cell r="T39">
            <v>1.0740000000000003</v>
          </cell>
          <cell r="U39">
            <v>1.0740000000000003</v>
          </cell>
          <cell r="V39">
            <v>1.0740000000000003</v>
          </cell>
          <cell r="W39">
            <v>1.0740000000000003</v>
          </cell>
          <cell r="X39">
            <v>1.0740000000000003</v>
          </cell>
          <cell r="Y39">
            <v>1.0740000000000003</v>
          </cell>
          <cell r="Z39">
            <v>1.0740000000000003</v>
          </cell>
          <cell r="AA39">
            <v>1.0740000000000003</v>
          </cell>
          <cell r="AB39">
            <v>1.0740000000000003</v>
          </cell>
          <cell r="AC39">
            <v>1.0740000000000003</v>
          </cell>
          <cell r="AD39">
            <v>1.0740000000000003</v>
          </cell>
          <cell r="AE39">
            <v>1.0740000000000003</v>
          </cell>
          <cell r="AF39">
            <v>1.0740000000000003</v>
          </cell>
          <cell r="AG39">
            <v>1.0740000000000003</v>
          </cell>
          <cell r="AH39">
            <v>1.0740000000000003</v>
          </cell>
          <cell r="AI39">
            <v>1.0740000000000003</v>
          </cell>
          <cell r="AJ39">
            <v>1.0740000000000003</v>
          </cell>
          <cell r="AK39">
            <v>1.0740000000000003</v>
          </cell>
          <cell r="AL39">
            <v>1.0740000000000003</v>
          </cell>
          <cell r="AM39">
            <v>1.0740000000000003</v>
          </cell>
          <cell r="AN39">
            <v>1.0740000000000003</v>
          </cell>
          <cell r="AO39">
            <v>1.0740000000000003</v>
          </cell>
          <cell r="AP39">
            <v>1.0740000000000003</v>
          </cell>
          <cell r="AQ39">
            <v>1.0740000000000003</v>
          </cell>
          <cell r="AR39">
            <v>1.0740000000000003</v>
          </cell>
          <cell r="AS39">
            <v>1.0740000000000003</v>
          </cell>
          <cell r="AT39">
            <v>1.0740000000000003</v>
          </cell>
          <cell r="AU39">
            <v>1.0740000000000003</v>
          </cell>
          <cell r="AV39">
            <v>1.0740000000000003</v>
          </cell>
          <cell r="AW39">
            <v>1.0740000000000003</v>
          </cell>
          <cell r="AX39">
            <v>1.0740000000000003</v>
          </cell>
          <cell r="AY39">
            <v>1.0740000000000003</v>
          </cell>
          <cell r="AZ39">
            <v>1.0740000000000003</v>
          </cell>
          <cell r="BA39">
            <v>1.0740000000000003</v>
          </cell>
          <cell r="BB39">
            <v>1.0740000000000003</v>
          </cell>
          <cell r="BC39">
            <v>1.0740000000000003</v>
          </cell>
          <cell r="BD39">
            <v>1.0740000000000003</v>
          </cell>
          <cell r="BE39">
            <v>1.0740000000000003</v>
          </cell>
          <cell r="BF39">
            <v>1.0740000000000003</v>
          </cell>
          <cell r="BG39">
            <v>1.0740000000000003</v>
          </cell>
          <cell r="BH39">
            <v>1.0740000000000003</v>
          </cell>
          <cell r="BI39">
            <v>1.0740000000000003</v>
          </cell>
          <cell r="BJ39">
            <v>1.0740000000000003</v>
          </cell>
          <cell r="BK39">
            <v>1.0740000000000003</v>
          </cell>
          <cell r="BL39">
            <v>1.0740000000000003</v>
          </cell>
          <cell r="BM39">
            <v>1.0740000000000003</v>
          </cell>
          <cell r="BN39">
            <v>1.0740000000000003</v>
          </cell>
          <cell r="BO39">
            <v>1.0740000000000003</v>
          </cell>
          <cell r="BP39">
            <v>1.0740000000000003</v>
          </cell>
          <cell r="BQ39">
            <v>1.0740000000000003</v>
          </cell>
          <cell r="BR39">
            <v>1.0740000000000003</v>
          </cell>
          <cell r="BS39">
            <v>1.0740000000000003</v>
          </cell>
          <cell r="BT39">
            <v>1.0740000000000003</v>
          </cell>
          <cell r="BU39">
            <v>1.0740000000000003</v>
          </cell>
          <cell r="BV39">
            <v>1.0740000000000003</v>
          </cell>
          <cell r="BW39">
            <v>1.0740000000000003</v>
          </cell>
          <cell r="BX39">
            <v>1.0740000000000003</v>
          </cell>
          <cell r="BY39">
            <v>1.0740000000000003</v>
          </cell>
          <cell r="BZ39">
            <v>1.0740000000000003</v>
          </cell>
        </row>
        <row r="40">
          <cell r="B40" t="str">
            <v>AUXILIO POR TRATAMIENTO AMBULATORIO O CIRUGÍA AMBULATORIA</v>
          </cell>
          <cell r="C40">
            <v>291.60000000000002</v>
          </cell>
          <cell r="D40">
            <v>291.60000000000002</v>
          </cell>
          <cell r="E40">
            <v>291.60000000000002</v>
          </cell>
          <cell r="F40">
            <v>291.60000000000002</v>
          </cell>
          <cell r="G40">
            <v>291.60000000000002</v>
          </cell>
          <cell r="H40">
            <v>291.60000000000002</v>
          </cell>
          <cell r="I40">
            <v>291.60000000000002</v>
          </cell>
          <cell r="J40">
            <v>291.60000000000002</v>
          </cell>
          <cell r="K40">
            <v>291.60000000000002</v>
          </cell>
          <cell r="L40">
            <v>291.60000000000002</v>
          </cell>
          <cell r="M40">
            <v>291.60000000000002</v>
          </cell>
          <cell r="N40">
            <v>291.60000000000002</v>
          </cell>
          <cell r="O40">
            <v>291.60000000000002</v>
          </cell>
          <cell r="P40">
            <v>291.60000000000002</v>
          </cell>
          <cell r="Q40">
            <v>291.60000000000002</v>
          </cell>
          <cell r="R40">
            <v>291.60000000000002</v>
          </cell>
          <cell r="S40">
            <v>291.60000000000002</v>
          </cell>
          <cell r="T40">
            <v>291.60000000000002</v>
          </cell>
          <cell r="U40">
            <v>291.60000000000002</v>
          </cell>
          <cell r="V40">
            <v>291.60000000000002</v>
          </cell>
          <cell r="W40">
            <v>291.60000000000002</v>
          </cell>
          <cell r="X40">
            <v>291.60000000000002</v>
          </cell>
          <cell r="Y40">
            <v>291.60000000000002</v>
          </cell>
          <cell r="Z40">
            <v>291.60000000000002</v>
          </cell>
          <cell r="AA40">
            <v>291.60000000000002</v>
          </cell>
          <cell r="AB40">
            <v>291.60000000000002</v>
          </cell>
          <cell r="AC40">
            <v>291.60000000000002</v>
          </cell>
          <cell r="AD40">
            <v>291.60000000000002</v>
          </cell>
          <cell r="AE40">
            <v>291.60000000000002</v>
          </cell>
          <cell r="AF40">
            <v>291.60000000000002</v>
          </cell>
          <cell r="AG40">
            <v>291.60000000000002</v>
          </cell>
          <cell r="AH40">
            <v>291.60000000000002</v>
          </cell>
          <cell r="AI40">
            <v>291.60000000000002</v>
          </cell>
          <cell r="AJ40">
            <v>291.60000000000002</v>
          </cell>
          <cell r="AK40">
            <v>291.60000000000002</v>
          </cell>
          <cell r="AL40">
            <v>291.60000000000002</v>
          </cell>
          <cell r="AM40">
            <v>291.60000000000002</v>
          </cell>
          <cell r="AN40">
            <v>291.60000000000002</v>
          </cell>
          <cell r="AO40">
            <v>291.60000000000002</v>
          </cell>
          <cell r="AP40">
            <v>291.60000000000002</v>
          </cell>
          <cell r="AQ40">
            <v>291.60000000000002</v>
          </cell>
          <cell r="AR40">
            <v>291.60000000000002</v>
          </cell>
          <cell r="AS40">
            <v>291.60000000000002</v>
          </cell>
          <cell r="AT40">
            <v>291.60000000000002</v>
          </cell>
          <cell r="AU40">
            <v>291.60000000000002</v>
          </cell>
          <cell r="AV40">
            <v>291.60000000000002</v>
          </cell>
          <cell r="AW40">
            <v>291.60000000000002</v>
          </cell>
          <cell r="AX40">
            <v>291.60000000000002</v>
          </cell>
          <cell r="AY40">
            <v>291.60000000000002</v>
          </cell>
          <cell r="AZ40">
            <v>291.60000000000002</v>
          </cell>
          <cell r="BA40">
            <v>291.60000000000002</v>
          </cell>
          <cell r="BB40">
            <v>291.60000000000002</v>
          </cell>
          <cell r="BC40">
            <v>291.60000000000002</v>
          </cell>
          <cell r="BD40">
            <v>291.60000000000002</v>
          </cell>
          <cell r="BE40">
            <v>291.60000000000002</v>
          </cell>
          <cell r="BF40">
            <v>291.60000000000002</v>
          </cell>
          <cell r="BG40">
            <v>291.60000000000002</v>
          </cell>
          <cell r="BH40">
            <v>291.60000000000002</v>
          </cell>
          <cell r="BI40">
            <v>291.60000000000002</v>
          </cell>
          <cell r="BJ40">
            <v>291.60000000000002</v>
          </cell>
          <cell r="BK40">
            <v>291.60000000000002</v>
          </cell>
          <cell r="BL40">
            <v>291.60000000000002</v>
          </cell>
          <cell r="BM40">
            <v>291.60000000000002</v>
          </cell>
          <cell r="BN40">
            <v>291.60000000000002</v>
          </cell>
          <cell r="BO40">
            <v>291.60000000000002</v>
          </cell>
          <cell r="BP40">
            <v>291.60000000000002</v>
          </cell>
          <cell r="BQ40">
            <v>291.60000000000002</v>
          </cell>
          <cell r="BR40">
            <v>291.60000000000002</v>
          </cell>
          <cell r="BS40">
            <v>291.60000000000002</v>
          </cell>
          <cell r="BT40">
            <v>291.60000000000002</v>
          </cell>
          <cell r="BU40">
            <v>291.60000000000002</v>
          </cell>
          <cell r="BV40">
            <v>291.60000000000002</v>
          </cell>
          <cell r="BW40">
            <v>291.60000000000002</v>
          </cell>
          <cell r="BX40">
            <v>291.60000000000002</v>
          </cell>
          <cell r="BY40">
            <v>291.60000000000002</v>
          </cell>
          <cell r="BZ40">
            <v>291.60000000000002</v>
          </cell>
        </row>
        <row r="41">
          <cell r="B41" t="str">
            <v>AUXILIO VACACIONAL POR MUERTE</v>
          </cell>
          <cell r="C41">
            <v>1.2149999999999916</v>
          </cell>
          <cell r="D41">
            <v>1.2149999999999916</v>
          </cell>
          <cell r="E41">
            <v>1.2149999999999916</v>
          </cell>
          <cell r="F41">
            <v>1.2149999999999916</v>
          </cell>
          <cell r="G41">
            <v>1.2149999999999916</v>
          </cell>
          <cell r="H41">
            <v>1.2149999999999916</v>
          </cell>
          <cell r="I41">
            <v>1.2149999999999916</v>
          </cell>
          <cell r="J41">
            <v>1.2149999999999916</v>
          </cell>
          <cell r="K41">
            <v>1.2149999999999916</v>
          </cell>
          <cell r="L41">
            <v>1.2149999999999916</v>
          </cell>
          <cell r="M41">
            <v>1.2149999999999916</v>
          </cell>
          <cell r="N41">
            <v>1.2149999999999916</v>
          </cell>
          <cell r="O41">
            <v>1.2149999999999916</v>
          </cell>
          <cell r="P41">
            <v>1.2149999999999916</v>
          </cell>
          <cell r="Q41">
            <v>1.2149999999999916</v>
          </cell>
          <cell r="R41">
            <v>1.2149999999999916</v>
          </cell>
          <cell r="S41">
            <v>1.2149999999999916</v>
          </cell>
          <cell r="T41">
            <v>1.2149999999999916</v>
          </cell>
          <cell r="U41">
            <v>1.2149999999999916</v>
          </cell>
          <cell r="V41">
            <v>1.2150000000000067</v>
          </cell>
          <cell r="W41">
            <v>1.2149999999999999</v>
          </cell>
          <cell r="X41">
            <v>1.2336336502838461</v>
          </cell>
          <cell r="Y41">
            <v>1.2549034008330024</v>
          </cell>
          <cell r="Z41">
            <v>1.2738115741835121</v>
          </cell>
          <cell r="AA41">
            <v>1.2928382088962076</v>
          </cell>
          <cell r="AB41">
            <v>1.3043825741274109</v>
          </cell>
          <cell r="AC41">
            <v>1.3210645434186523</v>
          </cell>
          <cell r="AD41">
            <v>1.3327592457605</v>
          </cell>
          <cell r="AE41">
            <v>1.3470467781465878</v>
          </cell>
          <cell r="AF41">
            <v>1.3588787626844279</v>
          </cell>
          <cell r="AG41">
            <v>1.3707201485706999</v>
          </cell>
          <cell r="AH41">
            <v>1.3852169338285834</v>
          </cell>
          <cell r="AI41">
            <v>1.399796244562665</v>
          </cell>
          <cell r="AJ41">
            <v>1.4143860535694039</v>
          </cell>
          <cell r="AK41">
            <v>1.4343148543258701</v>
          </cell>
          <cell r="AL41">
            <v>1.4517327641736244</v>
          </cell>
          <cell r="AM41">
            <v>1.4666019914772839</v>
          </cell>
          <cell r="AN41">
            <v>1.4842144897298675</v>
          </cell>
          <cell r="AO41">
            <v>1.5019388211688123</v>
          </cell>
          <cell r="AP41">
            <v>1.5223585878560546</v>
          </cell>
          <cell r="AQ41">
            <v>1.5481960946221853</v>
          </cell>
          <cell r="AR41">
            <v>1.5716302689600372</v>
          </cell>
          <cell r="AS41">
            <v>1.597838951884857</v>
          </cell>
          <cell r="AT41">
            <v>1.6112657606025871</v>
          </cell>
          <cell r="AU41">
            <v>1.6265509228813189</v>
          </cell>
          <cell r="AV41">
            <v>1.6375942332031035</v>
          </cell>
          <cell r="AW41">
            <v>1.6531665432685401</v>
          </cell>
          <cell r="AX41">
            <v>1.668904448562456</v>
          </cell>
          <cell r="AY41">
            <v>1.6892682437627446</v>
          </cell>
          <cell r="AZ41">
            <v>1.7188129448099905</v>
          </cell>
          <cell r="BA41">
            <v>1.76219375140481</v>
          </cell>
          <cell r="BB41">
            <v>1.8241748318056623</v>
          </cell>
          <cell r="BC41">
            <v>1.914179442982854</v>
          </cell>
          <cell r="BD41">
            <v>2.0282126660741553</v>
          </cell>
          <cell r="BE41">
            <v>2.1805604865032011</v>
          </cell>
          <cell r="BF41">
            <v>2.3629391646802778</v>
          </cell>
          <cell r="BG41">
            <v>2.5947548883328704</v>
          </cell>
          <cell r="BH41">
            <v>2.8682025930416941</v>
          </cell>
          <cell r="BI41">
            <v>3.1895529223867629</v>
          </cell>
          <cell r="BJ41">
            <v>3.5513885929398392</v>
          </cell>
          <cell r="BK41">
            <v>3.9462997467870622</v>
          </cell>
          <cell r="BL41">
            <v>4.3571618133127457</v>
          </cell>
          <cell r="BM41">
            <v>4.7759009695713157</v>
          </cell>
          <cell r="BN41">
            <v>5.2039103386985293</v>
          </cell>
          <cell r="BO41">
            <v>5.5976588879717868</v>
          </cell>
          <cell r="BP41">
            <v>5.9815075529850468</v>
          </cell>
          <cell r="BQ41">
            <v>6.3452822414503514</v>
          </cell>
          <cell r="BR41">
            <v>6.7039983253087714</v>
          </cell>
          <cell r="BS41">
            <v>7.2227914465542717</v>
          </cell>
          <cell r="BT41">
            <v>7.6591592812423785</v>
          </cell>
          <cell r="BU41">
            <v>8.1623630510769409</v>
          </cell>
          <cell r="BV41">
            <v>8.7893489789010495</v>
          </cell>
          <cell r="BW41">
            <v>9.5521010584604724</v>
          </cell>
          <cell r="BX41">
            <v>10.577633328408922</v>
          </cell>
          <cell r="BY41">
            <v>11.878603945371776</v>
          </cell>
          <cell r="BZ41">
            <v>13.51203415541967</v>
          </cell>
        </row>
        <row r="42">
          <cell r="B42" t="str">
            <v>CÁNCER IN SITU DE SENO, MATRIZ O PIEL</v>
          </cell>
          <cell r="C42">
            <v>1.0740000000000003</v>
          </cell>
          <cell r="D42">
            <v>1.0740000000000003</v>
          </cell>
          <cell r="E42">
            <v>1.0740000000000003</v>
          </cell>
          <cell r="F42">
            <v>1.0740000000000003</v>
          </cell>
          <cell r="G42">
            <v>1.0740000000000003</v>
          </cell>
          <cell r="H42">
            <v>1.0740000000000003</v>
          </cell>
          <cell r="I42">
            <v>1.0740000000000003</v>
          </cell>
          <cell r="J42">
            <v>1.0740000000000003</v>
          </cell>
          <cell r="K42">
            <v>1.0740000000000003</v>
          </cell>
          <cell r="L42">
            <v>1.0740000000000003</v>
          </cell>
          <cell r="M42">
            <v>1.0740000000000003</v>
          </cell>
          <cell r="N42">
            <v>1.0740000000000003</v>
          </cell>
          <cell r="O42">
            <v>1.0740000000000003</v>
          </cell>
          <cell r="P42">
            <v>1.0740000000000003</v>
          </cell>
          <cell r="Q42">
            <v>1.0740000000000003</v>
          </cell>
          <cell r="R42">
            <v>1.0740000000000003</v>
          </cell>
          <cell r="S42">
            <v>1.0740000000000003</v>
          </cell>
          <cell r="T42">
            <v>1.0740000000000003</v>
          </cell>
          <cell r="U42">
            <v>1.0740000000000003</v>
          </cell>
          <cell r="V42">
            <v>1.0740000000000003</v>
          </cell>
          <cell r="W42">
            <v>1.0740000000000003</v>
          </cell>
          <cell r="X42">
            <v>1.0740000000000003</v>
          </cell>
          <cell r="Y42">
            <v>1.0740000000000003</v>
          </cell>
          <cell r="Z42">
            <v>1.0740000000000003</v>
          </cell>
          <cell r="AA42">
            <v>1.0740000000000003</v>
          </cell>
          <cell r="AB42">
            <v>1.0740000000000003</v>
          </cell>
          <cell r="AC42">
            <v>1.0740000000000003</v>
          </cell>
          <cell r="AD42">
            <v>1.0740000000000003</v>
          </cell>
          <cell r="AE42">
            <v>1.0740000000000003</v>
          </cell>
          <cell r="AF42">
            <v>1.0740000000000003</v>
          </cell>
          <cell r="AG42">
            <v>1.0740000000000003</v>
          </cell>
          <cell r="AH42">
            <v>1.0740000000000003</v>
          </cell>
          <cell r="AI42">
            <v>1.0740000000000003</v>
          </cell>
          <cell r="AJ42">
            <v>1.0740000000000003</v>
          </cell>
          <cell r="AK42">
            <v>1.0740000000000003</v>
          </cell>
          <cell r="AL42">
            <v>1.0740000000000003</v>
          </cell>
          <cell r="AM42">
            <v>1.0740000000000003</v>
          </cell>
          <cell r="AN42">
            <v>1.0740000000000003</v>
          </cell>
          <cell r="AO42">
            <v>1.0740000000000003</v>
          </cell>
          <cell r="AP42">
            <v>1.0740000000000003</v>
          </cell>
          <cell r="AQ42">
            <v>1.0740000000000003</v>
          </cell>
          <cell r="AR42">
            <v>1.0740000000000003</v>
          </cell>
          <cell r="AS42">
            <v>1.0740000000000003</v>
          </cell>
          <cell r="AT42">
            <v>1.0740000000000003</v>
          </cell>
          <cell r="AU42">
            <v>1.0740000000000003</v>
          </cell>
          <cell r="AV42">
            <v>1.0740000000000003</v>
          </cell>
          <cell r="AW42">
            <v>1.0740000000000003</v>
          </cell>
          <cell r="AX42">
            <v>1.0740000000000003</v>
          </cell>
          <cell r="AY42">
            <v>1.0740000000000003</v>
          </cell>
          <cell r="AZ42">
            <v>1.0740000000000003</v>
          </cell>
          <cell r="BA42">
            <v>1.0740000000000003</v>
          </cell>
          <cell r="BB42">
            <v>1.0740000000000003</v>
          </cell>
          <cell r="BC42">
            <v>1.0740000000000003</v>
          </cell>
          <cell r="BD42">
            <v>1.0740000000000003</v>
          </cell>
          <cell r="BE42">
            <v>1.0740000000000003</v>
          </cell>
          <cell r="BF42">
            <v>1.0740000000000003</v>
          </cell>
          <cell r="BG42">
            <v>1.0740000000000003</v>
          </cell>
          <cell r="BH42">
            <v>1.0740000000000003</v>
          </cell>
          <cell r="BI42">
            <v>1.0740000000000003</v>
          </cell>
          <cell r="BJ42">
            <v>1.0740000000000003</v>
          </cell>
          <cell r="BK42">
            <v>1.0740000000000003</v>
          </cell>
          <cell r="BL42">
            <v>1.0740000000000003</v>
          </cell>
          <cell r="BM42">
            <v>1.0740000000000003</v>
          </cell>
          <cell r="BN42">
            <v>1.0740000000000003</v>
          </cell>
          <cell r="BO42">
            <v>1.0740000000000003</v>
          </cell>
          <cell r="BP42">
            <v>1.0740000000000003</v>
          </cell>
          <cell r="BQ42">
            <v>1.0740000000000003</v>
          </cell>
          <cell r="BR42">
            <v>1.0740000000000003</v>
          </cell>
          <cell r="BS42">
            <v>1.0740000000000003</v>
          </cell>
          <cell r="BT42">
            <v>1.0740000000000003</v>
          </cell>
          <cell r="BU42">
            <v>1.0740000000000003</v>
          </cell>
          <cell r="BV42">
            <v>1.0740000000000003</v>
          </cell>
          <cell r="BW42">
            <v>1.0740000000000003</v>
          </cell>
          <cell r="BX42">
            <v>1.0740000000000003</v>
          </cell>
          <cell r="BY42">
            <v>1.0740000000000003</v>
          </cell>
          <cell r="BZ42">
            <v>1.0740000000000003</v>
          </cell>
        </row>
        <row r="43">
          <cell r="B43" t="str">
            <v>DIAGNÓSTICO DE CÁNCER</v>
          </cell>
          <cell r="C43">
            <v>0.96660000000000013</v>
          </cell>
          <cell r="D43">
            <v>0.96660000000000013</v>
          </cell>
          <cell r="E43">
            <v>0.96660000000000013</v>
          </cell>
          <cell r="F43">
            <v>0.96660000000000013</v>
          </cell>
          <cell r="G43">
            <v>0.96660000000000013</v>
          </cell>
          <cell r="H43">
            <v>0.96660000000000013</v>
          </cell>
          <cell r="I43">
            <v>0.96660000000000013</v>
          </cell>
          <cell r="J43">
            <v>0.96660000000000013</v>
          </cell>
          <cell r="K43">
            <v>0.96660000000000013</v>
          </cell>
          <cell r="L43">
            <v>0.96660000000000013</v>
          </cell>
          <cell r="M43">
            <v>0.96660000000000013</v>
          </cell>
          <cell r="N43">
            <v>0.96660000000000013</v>
          </cell>
          <cell r="O43">
            <v>0.96660000000000013</v>
          </cell>
          <cell r="P43">
            <v>0.96660000000000013</v>
          </cell>
          <cell r="Q43">
            <v>0.96660000000000013</v>
          </cell>
          <cell r="R43">
            <v>0.96660000000000013</v>
          </cell>
          <cell r="S43">
            <v>0.96660000000000013</v>
          </cell>
          <cell r="T43">
            <v>0.96660000000000013</v>
          </cell>
          <cell r="U43">
            <v>0.96660000000000013</v>
          </cell>
          <cell r="V43">
            <v>0.96660000000000013</v>
          </cell>
          <cell r="W43">
            <v>0.96660000000000013</v>
          </cell>
          <cell r="X43">
            <v>0.96660000000000013</v>
          </cell>
          <cell r="Y43">
            <v>0.96660000000000013</v>
          </cell>
          <cell r="Z43">
            <v>0.96660000000000013</v>
          </cell>
          <cell r="AA43">
            <v>0.96660000000000013</v>
          </cell>
          <cell r="AB43">
            <v>0.96660000000000013</v>
          </cell>
          <cell r="AC43">
            <v>0.96660000000000013</v>
          </cell>
          <cell r="AD43">
            <v>0.96660000000000013</v>
          </cell>
          <cell r="AE43">
            <v>0.96660000000000013</v>
          </cell>
          <cell r="AF43">
            <v>0.96660000000000013</v>
          </cell>
          <cell r="AG43">
            <v>0.96660000000000013</v>
          </cell>
          <cell r="AH43">
            <v>0.96660000000000013</v>
          </cell>
          <cell r="AI43">
            <v>0.96660000000000013</v>
          </cell>
          <cell r="AJ43">
            <v>0.96660000000000013</v>
          </cell>
          <cell r="AK43">
            <v>0.96660000000000013</v>
          </cell>
          <cell r="AL43">
            <v>0.96660000000000013</v>
          </cell>
          <cell r="AM43">
            <v>0.96660000000000013</v>
          </cell>
          <cell r="AN43">
            <v>0.96660000000000013</v>
          </cell>
          <cell r="AO43">
            <v>0.96660000000000013</v>
          </cell>
          <cell r="AP43">
            <v>0.96660000000000013</v>
          </cell>
          <cell r="AQ43">
            <v>0.96660000000000013</v>
          </cell>
          <cell r="AR43">
            <v>0.96660000000000013</v>
          </cell>
          <cell r="AS43">
            <v>0.96660000000000013</v>
          </cell>
          <cell r="AT43">
            <v>0.96660000000000013</v>
          </cell>
          <cell r="AU43">
            <v>0.96660000000000013</v>
          </cell>
          <cell r="AV43">
            <v>0.96660000000000013</v>
          </cell>
          <cell r="AW43">
            <v>0.96660000000000013</v>
          </cell>
          <cell r="AX43">
            <v>0.96660000000000013</v>
          </cell>
          <cell r="AY43">
            <v>0.96660000000000013</v>
          </cell>
          <cell r="AZ43">
            <v>0.96660000000000013</v>
          </cell>
          <cell r="BA43">
            <v>0.96660000000000013</v>
          </cell>
          <cell r="BB43">
            <v>0.96660000000000013</v>
          </cell>
          <cell r="BC43">
            <v>0.96660000000000013</v>
          </cell>
          <cell r="BD43">
            <v>0.96660000000000013</v>
          </cell>
          <cell r="BE43">
            <v>0.96660000000000013</v>
          </cell>
          <cell r="BF43">
            <v>0.96660000000000013</v>
          </cell>
          <cell r="BG43">
            <v>0.96660000000000013</v>
          </cell>
          <cell r="BH43">
            <v>0.96660000000000013</v>
          </cell>
          <cell r="BI43">
            <v>0.96660000000000013</v>
          </cell>
          <cell r="BJ43">
            <v>0.96660000000000013</v>
          </cell>
          <cell r="BK43">
            <v>0.96660000000000013</v>
          </cell>
          <cell r="BL43">
            <v>0.96660000000000013</v>
          </cell>
          <cell r="BM43">
            <v>0.96660000000000013</v>
          </cell>
          <cell r="BN43">
            <v>0.96660000000000013</v>
          </cell>
          <cell r="BO43">
            <v>0.96660000000000013</v>
          </cell>
          <cell r="BP43">
            <v>0.96660000000000013</v>
          </cell>
          <cell r="BQ43">
            <v>0.96660000000000013</v>
          </cell>
          <cell r="BR43">
            <v>0.96660000000000013</v>
          </cell>
          <cell r="BS43">
            <v>0.96660000000000013</v>
          </cell>
          <cell r="BT43">
            <v>0.96660000000000013</v>
          </cell>
          <cell r="BU43">
            <v>0.96660000000000013</v>
          </cell>
          <cell r="BV43">
            <v>0.96660000000000013</v>
          </cell>
          <cell r="BW43">
            <v>0.96660000000000013</v>
          </cell>
          <cell r="BX43">
            <v>0.96660000000000013</v>
          </cell>
          <cell r="BY43">
            <v>0.96660000000000013</v>
          </cell>
          <cell r="BZ43">
            <v>0.96660000000000013</v>
          </cell>
        </row>
        <row r="44">
          <cell r="B44" t="str">
            <v>GASTOS DE MOVILIZACIÓN POR ENFERMEDAD O ACCIDENTE</v>
          </cell>
          <cell r="C44">
            <v>2.7732000000000001</v>
          </cell>
          <cell r="D44">
            <v>2.7732000000000001</v>
          </cell>
          <cell r="E44">
            <v>2.7732000000000001</v>
          </cell>
          <cell r="F44">
            <v>2.7732000000000001</v>
          </cell>
          <cell r="G44">
            <v>2.7732000000000001</v>
          </cell>
          <cell r="H44">
            <v>2.7732000000000001</v>
          </cell>
          <cell r="I44">
            <v>2.7732000000000001</v>
          </cell>
          <cell r="J44">
            <v>2.7732000000000001</v>
          </cell>
          <cell r="K44">
            <v>2.7732000000000001</v>
          </cell>
          <cell r="L44">
            <v>2.7732000000000001</v>
          </cell>
          <cell r="M44">
            <v>2.7732000000000001</v>
          </cell>
          <cell r="N44">
            <v>2.7732000000000001</v>
          </cell>
          <cell r="O44">
            <v>2.7732000000000001</v>
          </cell>
          <cell r="P44">
            <v>2.7732000000000001</v>
          </cell>
          <cell r="Q44">
            <v>2.7732000000000001</v>
          </cell>
          <cell r="R44">
            <v>2.7732000000000001</v>
          </cell>
          <cell r="S44">
            <v>2.7732000000000001</v>
          </cell>
          <cell r="T44">
            <v>2.7732000000000001</v>
          </cell>
          <cell r="U44">
            <v>2.7732000000000001</v>
          </cell>
          <cell r="V44">
            <v>2.7732000000000001</v>
          </cell>
          <cell r="W44">
            <v>2.7732000000000001</v>
          </cell>
          <cell r="X44">
            <v>2.7732000000000001</v>
          </cell>
          <cell r="Y44">
            <v>2.7732000000000001</v>
          </cell>
          <cell r="Z44">
            <v>2.7732000000000001</v>
          </cell>
          <cell r="AA44">
            <v>2.7732000000000001</v>
          </cell>
          <cell r="AB44">
            <v>2.7732000000000001</v>
          </cell>
          <cell r="AC44">
            <v>2.7732000000000001</v>
          </cell>
          <cell r="AD44">
            <v>2.7732000000000001</v>
          </cell>
          <cell r="AE44">
            <v>2.7732000000000001</v>
          </cell>
          <cell r="AF44">
            <v>2.7732000000000001</v>
          </cell>
          <cell r="AG44">
            <v>2.7732000000000001</v>
          </cell>
          <cell r="AH44">
            <v>2.7732000000000001</v>
          </cell>
          <cell r="AI44">
            <v>2.7732000000000001</v>
          </cell>
          <cell r="AJ44">
            <v>2.7732000000000001</v>
          </cell>
          <cell r="AK44">
            <v>2.7732000000000001</v>
          </cell>
          <cell r="AL44">
            <v>2.7732000000000001</v>
          </cell>
          <cell r="AM44">
            <v>2.7732000000000001</v>
          </cell>
          <cell r="AN44">
            <v>2.7732000000000001</v>
          </cell>
          <cell r="AO44">
            <v>2.7732000000000001</v>
          </cell>
          <cell r="AP44">
            <v>2.7732000000000001</v>
          </cell>
          <cell r="AQ44">
            <v>2.7732000000000001</v>
          </cell>
          <cell r="AR44">
            <v>2.7732000000000001</v>
          </cell>
          <cell r="AS44">
            <v>2.7732000000000001</v>
          </cell>
          <cell r="AT44">
            <v>2.7732000000000001</v>
          </cell>
          <cell r="AU44">
            <v>2.7732000000000001</v>
          </cell>
          <cell r="AV44">
            <v>2.7732000000000001</v>
          </cell>
          <cell r="AW44">
            <v>2.7732000000000001</v>
          </cell>
          <cell r="AX44">
            <v>2.7732000000000001</v>
          </cell>
          <cell r="AY44">
            <v>2.7732000000000001</v>
          </cell>
          <cell r="AZ44">
            <v>2.7732000000000001</v>
          </cell>
          <cell r="BA44">
            <v>2.7732000000000001</v>
          </cell>
          <cell r="BB44">
            <v>2.7732000000000001</v>
          </cell>
          <cell r="BC44">
            <v>2.7732000000000001</v>
          </cell>
          <cell r="BD44">
            <v>2.7732000000000001</v>
          </cell>
          <cell r="BE44">
            <v>2.7732000000000001</v>
          </cell>
          <cell r="BF44">
            <v>2.7732000000000001</v>
          </cell>
          <cell r="BG44">
            <v>2.7732000000000001</v>
          </cell>
          <cell r="BH44">
            <v>2.7732000000000001</v>
          </cell>
          <cell r="BI44">
            <v>2.7732000000000001</v>
          </cell>
          <cell r="BJ44">
            <v>2.7732000000000001</v>
          </cell>
          <cell r="BK44">
            <v>2.7732000000000001</v>
          </cell>
          <cell r="BL44">
            <v>2.7732000000000001</v>
          </cell>
          <cell r="BM44">
            <v>2.7732000000000001</v>
          </cell>
          <cell r="BN44">
            <v>2.7732000000000001</v>
          </cell>
          <cell r="BO44">
            <v>2.7732000000000001</v>
          </cell>
          <cell r="BP44">
            <v>2.7732000000000001</v>
          </cell>
          <cell r="BQ44">
            <v>2.7732000000000001</v>
          </cell>
          <cell r="BR44">
            <v>2.7732000000000001</v>
          </cell>
          <cell r="BS44">
            <v>2.7732000000000001</v>
          </cell>
          <cell r="BT44">
            <v>2.7732000000000001</v>
          </cell>
          <cell r="BU44">
            <v>2.7732000000000001</v>
          </cell>
          <cell r="BV44">
            <v>2.7732000000000001</v>
          </cell>
          <cell r="BW44">
            <v>2.7732000000000001</v>
          </cell>
          <cell r="BX44">
            <v>2.7732000000000001</v>
          </cell>
          <cell r="BY44">
            <v>2.7732000000000001</v>
          </cell>
          <cell r="BZ44">
            <v>2.7732000000000001</v>
          </cell>
        </row>
        <row r="45">
          <cell r="B45" t="str">
            <v>GASTOS FUNERARIOS</v>
          </cell>
          <cell r="C45">
            <v>1.2149999999999916</v>
          </cell>
          <cell r="D45">
            <v>1.2149999999999916</v>
          </cell>
          <cell r="E45">
            <v>1.2149999999999916</v>
          </cell>
          <cell r="F45">
            <v>1.2149999999999916</v>
          </cell>
          <cell r="G45">
            <v>1.2149999999999916</v>
          </cell>
          <cell r="H45">
            <v>1.2149999999999916</v>
          </cell>
          <cell r="I45">
            <v>1.2149999999999916</v>
          </cell>
          <cell r="J45">
            <v>1.2149999999999916</v>
          </cell>
          <cell r="K45">
            <v>1.2149999999999916</v>
          </cell>
          <cell r="L45">
            <v>1.2149999999999916</v>
          </cell>
          <cell r="M45">
            <v>1.2149999999999916</v>
          </cell>
          <cell r="N45">
            <v>1.2149999999999916</v>
          </cell>
          <cell r="O45">
            <v>1.2149999999999916</v>
          </cell>
          <cell r="P45">
            <v>1.2149999999999916</v>
          </cell>
          <cell r="Q45">
            <v>1.2149999999999916</v>
          </cell>
          <cell r="R45">
            <v>1.2149999999999916</v>
          </cell>
          <cell r="S45">
            <v>1.2149999999999916</v>
          </cell>
          <cell r="T45">
            <v>1.2149999999999916</v>
          </cell>
          <cell r="U45">
            <v>1.2149999999999916</v>
          </cell>
          <cell r="V45">
            <v>1.2150000000000067</v>
          </cell>
          <cell r="W45">
            <v>1.2149999999999999</v>
          </cell>
          <cell r="X45">
            <v>1.2336336502838461</v>
          </cell>
          <cell r="Y45">
            <v>1.2549034008330024</v>
          </cell>
          <cell r="Z45">
            <v>1.2738115741835121</v>
          </cell>
          <cell r="AA45">
            <v>1.2928382088962076</v>
          </cell>
          <cell r="AB45">
            <v>1.3043825741274109</v>
          </cell>
          <cell r="AC45">
            <v>1.3210645434186523</v>
          </cell>
          <cell r="AD45">
            <v>1.3327592457605</v>
          </cell>
          <cell r="AE45">
            <v>1.3470467781465878</v>
          </cell>
          <cell r="AF45">
            <v>1.3588787626844279</v>
          </cell>
          <cell r="AG45">
            <v>1.3707201485706999</v>
          </cell>
          <cell r="AH45">
            <v>1.3852169338285834</v>
          </cell>
          <cell r="AI45">
            <v>1.399796244562665</v>
          </cell>
          <cell r="AJ45">
            <v>1.4143860535694039</v>
          </cell>
          <cell r="AK45">
            <v>1.4343148543258701</v>
          </cell>
          <cell r="AL45">
            <v>1.4517327641736244</v>
          </cell>
          <cell r="AM45">
            <v>1.4666019914772839</v>
          </cell>
          <cell r="AN45">
            <v>1.4842144897298675</v>
          </cell>
          <cell r="AO45">
            <v>1.5019388211688123</v>
          </cell>
          <cell r="AP45">
            <v>1.5223585878560546</v>
          </cell>
          <cell r="AQ45">
            <v>1.5481960946221853</v>
          </cell>
          <cell r="AR45">
            <v>1.5716302689600372</v>
          </cell>
          <cell r="AS45">
            <v>1.597838951884857</v>
          </cell>
          <cell r="AT45">
            <v>1.6112657606025871</v>
          </cell>
          <cell r="AU45">
            <v>1.6265509228813189</v>
          </cell>
          <cell r="AV45">
            <v>1.6375942332031035</v>
          </cell>
          <cell r="AW45">
            <v>1.6531665432685401</v>
          </cell>
          <cell r="AX45">
            <v>1.668904448562456</v>
          </cell>
          <cell r="AY45">
            <v>1.6892682437627446</v>
          </cell>
          <cell r="AZ45">
            <v>1.7188129448099905</v>
          </cell>
          <cell r="BA45">
            <v>1.76219375140481</v>
          </cell>
          <cell r="BB45">
            <v>1.8241748318056623</v>
          </cell>
          <cell r="BC45">
            <v>1.914179442982854</v>
          </cell>
          <cell r="BD45">
            <v>2.0282126660741553</v>
          </cell>
          <cell r="BE45">
            <v>2.1805604865032011</v>
          </cell>
          <cell r="BF45">
            <v>2.3629391646802778</v>
          </cell>
          <cell r="BG45">
            <v>2.5947548883328704</v>
          </cell>
          <cell r="BH45">
            <v>2.8682025930416941</v>
          </cell>
          <cell r="BI45">
            <v>3.1895529223867629</v>
          </cell>
          <cell r="BJ45">
            <v>3.5513885929398392</v>
          </cell>
          <cell r="BK45">
            <v>3.9462997467870622</v>
          </cell>
          <cell r="BL45">
            <v>4.3571618133127457</v>
          </cell>
          <cell r="BM45">
            <v>4.7759009695713157</v>
          </cell>
          <cell r="BN45">
            <v>5.2039103386985293</v>
          </cell>
          <cell r="BO45">
            <v>5.5976588879717868</v>
          </cell>
          <cell r="BP45">
            <v>5.9815075529850468</v>
          </cell>
          <cell r="BQ45">
            <v>6.3452822414503514</v>
          </cell>
          <cell r="BR45">
            <v>6.7039983253087714</v>
          </cell>
          <cell r="BS45">
            <v>7.2227914465542717</v>
          </cell>
          <cell r="BT45">
            <v>7.6591592812423785</v>
          </cell>
          <cell r="BU45">
            <v>8.1623630510769409</v>
          </cell>
          <cell r="BV45">
            <v>8.7893489789010495</v>
          </cell>
          <cell r="BW45">
            <v>9.5521010584604724</v>
          </cell>
          <cell r="BX45">
            <v>10.577633328408922</v>
          </cell>
          <cell r="BY45">
            <v>11.878603945371776</v>
          </cell>
          <cell r="BZ45">
            <v>13.51203415541967</v>
          </cell>
        </row>
        <row r="46">
          <cell r="B46" t="str">
            <v>GASTOS MÉDICOS POR ACCIDENTE</v>
          </cell>
          <cell r="C46">
            <v>0.84</v>
          </cell>
          <cell r="D46">
            <v>0.84</v>
          </cell>
          <cell r="E46">
            <v>0.84</v>
          </cell>
          <cell r="F46">
            <v>0.84</v>
          </cell>
          <cell r="G46">
            <v>0.84</v>
          </cell>
          <cell r="H46">
            <v>0.84</v>
          </cell>
          <cell r="I46">
            <v>0.84</v>
          </cell>
          <cell r="J46">
            <v>0.84</v>
          </cell>
          <cell r="K46">
            <v>0.84</v>
          </cell>
          <cell r="L46">
            <v>0.84</v>
          </cell>
          <cell r="M46">
            <v>0.84</v>
          </cell>
          <cell r="N46">
            <v>0.84</v>
          </cell>
          <cell r="O46">
            <v>0.84</v>
          </cell>
          <cell r="P46">
            <v>0.84</v>
          </cell>
          <cell r="Q46">
            <v>0.84</v>
          </cell>
          <cell r="R46">
            <v>0.84</v>
          </cell>
          <cell r="S46">
            <v>0.84</v>
          </cell>
          <cell r="T46">
            <v>0.84</v>
          </cell>
          <cell r="U46">
            <v>0.84</v>
          </cell>
          <cell r="V46">
            <v>0.84</v>
          </cell>
          <cell r="W46">
            <v>0.84</v>
          </cell>
          <cell r="X46">
            <v>0.84</v>
          </cell>
          <cell r="Y46">
            <v>0.84</v>
          </cell>
          <cell r="Z46">
            <v>0.84</v>
          </cell>
          <cell r="AA46">
            <v>0.84</v>
          </cell>
          <cell r="AB46">
            <v>0.84</v>
          </cell>
          <cell r="AC46">
            <v>0.84</v>
          </cell>
          <cell r="AD46">
            <v>0.84</v>
          </cell>
          <cell r="AE46">
            <v>0.84</v>
          </cell>
          <cell r="AF46">
            <v>0.84</v>
          </cell>
          <cell r="AG46">
            <v>0.84</v>
          </cell>
          <cell r="AH46">
            <v>0.84</v>
          </cell>
          <cell r="AI46">
            <v>0.84</v>
          </cell>
          <cell r="AJ46">
            <v>0.84</v>
          </cell>
          <cell r="AK46">
            <v>0.84</v>
          </cell>
          <cell r="AL46">
            <v>0.84</v>
          </cell>
          <cell r="AM46">
            <v>0.84</v>
          </cell>
          <cell r="AN46">
            <v>0.84</v>
          </cell>
          <cell r="AO46">
            <v>0.84</v>
          </cell>
          <cell r="AP46">
            <v>0.84</v>
          </cell>
          <cell r="AQ46">
            <v>0.84</v>
          </cell>
          <cell r="AR46">
            <v>0.84</v>
          </cell>
          <cell r="AS46">
            <v>0.84</v>
          </cell>
          <cell r="AT46">
            <v>0.84</v>
          </cell>
          <cell r="AU46">
            <v>0.84</v>
          </cell>
          <cell r="AV46">
            <v>0.84</v>
          </cell>
          <cell r="AW46">
            <v>0.84</v>
          </cell>
          <cell r="AX46">
            <v>0.84</v>
          </cell>
          <cell r="AY46">
            <v>0.84</v>
          </cell>
          <cell r="AZ46">
            <v>0.84</v>
          </cell>
          <cell r="BA46">
            <v>0.84</v>
          </cell>
          <cell r="BB46">
            <v>0.84</v>
          </cell>
          <cell r="BC46">
            <v>0.84</v>
          </cell>
          <cell r="BD46">
            <v>0.84</v>
          </cell>
          <cell r="BE46">
            <v>0.84</v>
          </cell>
          <cell r="BF46">
            <v>0.84</v>
          </cell>
          <cell r="BG46">
            <v>0.84</v>
          </cell>
          <cell r="BH46">
            <v>0.84</v>
          </cell>
          <cell r="BI46">
            <v>0.84</v>
          </cell>
          <cell r="BJ46">
            <v>0.84</v>
          </cell>
          <cell r="BK46">
            <v>0.84</v>
          </cell>
          <cell r="BL46">
            <v>0.84</v>
          </cell>
          <cell r="BM46">
            <v>0.84</v>
          </cell>
          <cell r="BN46">
            <v>0.84</v>
          </cell>
          <cell r="BO46">
            <v>0.84</v>
          </cell>
          <cell r="BP46">
            <v>0.84</v>
          </cell>
          <cell r="BQ46">
            <v>0.84</v>
          </cell>
          <cell r="BR46">
            <v>0.84</v>
          </cell>
          <cell r="BS46">
            <v>0.84</v>
          </cell>
          <cell r="BT46">
            <v>0.84</v>
          </cell>
          <cell r="BU46">
            <v>0.84</v>
          </cell>
          <cell r="BV46">
            <v>0.84</v>
          </cell>
          <cell r="BW46">
            <v>0.84</v>
          </cell>
          <cell r="BX46">
            <v>0.84</v>
          </cell>
          <cell r="BY46">
            <v>0.84</v>
          </cell>
          <cell r="BZ46">
            <v>0.84</v>
          </cell>
        </row>
        <row r="47">
          <cell r="B47" t="str">
            <v>GASTOS PARA TRASLADO DEL CUERPO POR MUERTE</v>
          </cell>
          <cell r="C47">
            <v>7.4520000000000003E-2</v>
          </cell>
          <cell r="D47">
            <v>7.4520000000000003E-2</v>
          </cell>
          <cell r="E47">
            <v>7.4520000000000003E-2</v>
          </cell>
          <cell r="F47">
            <v>7.4520000000000003E-2</v>
          </cell>
          <cell r="G47">
            <v>7.4520000000000003E-2</v>
          </cell>
          <cell r="H47">
            <v>7.4520000000000003E-2</v>
          </cell>
          <cell r="I47">
            <v>7.4520000000000003E-2</v>
          </cell>
          <cell r="J47">
            <v>7.4520000000000003E-2</v>
          </cell>
          <cell r="K47">
            <v>7.4520000000000003E-2</v>
          </cell>
          <cell r="L47">
            <v>7.4520000000000003E-2</v>
          </cell>
          <cell r="M47">
            <v>7.4520000000000003E-2</v>
          </cell>
          <cell r="N47">
            <v>7.4520000000000003E-2</v>
          </cell>
          <cell r="O47">
            <v>7.4520000000000003E-2</v>
          </cell>
          <cell r="P47">
            <v>7.4520000000000003E-2</v>
          </cell>
          <cell r="Q47">
            <v>7.4520000000000003E-2</v>
          </cell>
          <cell r="R47">
            <v>7.4520000000000003E-2</v>
          </cell>
          <cell r="S47">
            <v>7.4520000000000003E-2</v>
          </cell>
          <cell r="T47">
            <v>7.4520000000000003E-2</v>
          </cell>
          <cell r="U47">
            <v>7.4520000000000003E-2</v>
          </cell>
          <cell r="V47">
            <v>7.4520000000000003E-2</v>
          </cell>
          <cell r="W47">
            <v>7.4520000000000003E-2</v>
          </cell>
          <cell r="X47">
            <v>7.4520000000000003E-2</v>
          </cell>
          <cell r="Y47">
            <v>7.4520000000000003E-2</v>
          </cell>
          <cell r="Z47">
            <v>7.4520000000000003E-2</v>
          </cell>
          <cell r="AA47">
            <v>7.4520000000000003E-2</v>
          </cell>
          <cell r="AB47">
            <v>7.4520000000000003E-2</v>
          </cell>
          <cell r="AC47">
            <v>7.4520000000000003E-2</v>
          </cell>
          <cell r="AD47">
            <v>7.4520000000000003E-2</v>
          </cell>
          <cell r="AE47">
            <v>7.4520000000000003E-2</v>
          </cell>
          <cell r="AF47">
            <v>7.4520000000000003E-2</v>
          </cell>
          <cell r="AG47">
            <v>7.4520000000000003E-2</v>
          </cell>
          <cell r="AH47">
            <v>7.4520000000000003E-2</v>
          </cell>
          <cell r="AI47">
            <v>7.4520000000000003E-2</v>
          </cell>
          <cell r="AJ47">
            <v>7.4520000000000003E-2</v>
          </cell>
          <cell r="AK47">
            <v>7.4520000000000003E-2</v>
          </cell>
          <cell r="AL47">
            <v>7.4520000000000003E-2</v>
          </cell>
          <cell r="AM47">
            <v>7.4520000000000003E-2</v>
          </cell>
          <cell r="AN47">
            <v>7.4520000000000003E-2</v>
          </cell>
          <cell r="AO47">
            <v>7.4520000000000003E-2</v>
          </cell>
          <cell r="AP47">
            <v>7.4520000000000003E-2</v>
          </cell>
          <cell r="AQ47">
            <v>7.4520000000000003E-2</v>
          </cell>
          <cell r="AR47">
            <v>7.4520000000000003E-2</v>
          </cell>
          <cell r="AS47">
            <v>7.4520000000000003E-2</v>
          </cell>
          <cell r="AT47">
            <v>7.4520000000000003E-2</v>
          </cell>
          <cell r="AU47">
            <v>7.4520000000000003E-2</v>
          </cell>
          <cell r="AV47">
            <v>7.4520000000000003E-2</v>
          </cell>
          <cell r="AW47">
            <v>7.4520000000000003E-2</v>
          </cell>
          <cell r="AX47">
            <v>7.4520000000000003E-2</v>
          </cell>
          <cell r="AY47">
            <v>7.4520000000000003E-2</v>
          </cell>
          <cell r="AZ47">
            <v>7.4520000000000003E-2</v>
          </cell>
          <cell r="BA47">
            <v>7.4520000000000003E-2</v>
          </cell>
          <cell r="BB47">
            <v>7.4520000000000003E-2</v>
          </cell>
          <cell r="BC47">
            <v>7.4520000000000003E-2</v>
          </cell>
          <cell r="BD47">
            <v>7.4520000000000003E-2</v>
          </cell>
          <cell r="BE47">
            <v>7.4520000000000003E-2</v>
          </cell>
          <cell r="BF47">
            <v>7.4520000000000003E-2</v>
          </cell>
          <cell r="BG47">
            <v>7.4520000000000003E-2</v>
          </cell>
          <cell r="BH47">
            <v>7.4520000000000003E-2</v>
          </cell>
          <cell r="BI47">
            <v>7.4520000000000003E-2</v>
          </cell>
          <cell r="BJ47">
            <v>7.4520000000000003E-2</v>
          </cell>
          <cell r="BK47">
            <v>7.4520000000000003E-2</v>
          </cell>
          <cell r="BL47">
            <v>7.4520000000000003E-2</v>
          </cell>
          <cell r="BM47">
            <v>7.4520000000000003E-2</v>
          </cell>
          <cell r="BN47">
            <v>7.4520000000000003E-2</v>
          </cell>
          <cell r="BO47">
            <v>7.4520000000000003E-2</v>
          </cell>
          <cell r="BP47">
            <v>7.4520000000000003E-2</v>
          </cell>
          <cell r="BQ47">
            <v>7.4520000000000003E-2</v>
          </cell>
          <cell r="BR47">
            <v>7.4520000000000003E-2</v>
          </cell>
          <cell r="BS47">
            <v>7.4520000000000003E-2</v>
          </cell>
          <cell r="BT47">
            <v>7.4520000000000003E-2</v>
          </cell>
          <cell r="BU47">
            <v>7.4520000000000003E-2</v>
          </cell>
          <cell r="BV47">
            <v>7.4520000000000003E-2</v>
          </cell>
          <cell r="BW47">
            <v>7.4520000000000003E-2</v>
          </cell>
          <cell r="BX47">
            <v>7.4520000000000003E-2</v>
          </cell>
          <cell r="BY47">
            <v>7.4520000000000003E-2</v>
          </cell>
          <cell r="BZ47">
            <v>7.4520000000000003E-2</v>
          </cell>
        </row>
        <row r="48">
          <cell r="B48" t="str">
            <v>GRAN INVALIDEZ</v>
          </cell>
          <cell r="C48">
            <v>0.128</v>
          </cell>
          <cell r="D48">
            <v>0.128</v>
          </cell>
          <cell r="E48">
            <v>0.128</v>
          </cell>
          <cell r="F48">
            <v>0.128</v>
          </cell>
          <cell r="G48">
            <v>0.128</v>
          </cell>
          <cell r="H48">
            <v>0.128</v>
          </cell>
          <cell r="I48">
            <v>0.128</v>
          </cell>
          <cell r="J48">
            <v>0.128</v>
          </cell>
          <cell r="K48">
            <v>0.128</v>
          </cell>
          <cell r="L48">
            <v>0.128</v>
          </cell>
          <cell r="M48">
            <v>0.128</v>
          </cell>
          <cell r="N48">
            <v>0.128</v>
          </cell>
          <cell r="O48">
            <v>0.128</v>
          </cell>
          <cell r="P48">
            <v>0.128</v>
          </cell>
          <cell r="Q48">
            <v>0.128</v>
          </cell>
          <cell r="R48">
            <v>0.128</v>
          </cell>
          <cell r="S48">
            <v>0.128</v>
          </cell>
          <cell r="T48">
            <v>0.128</v>
          </cell>
          <cell r="U48">
            <v>0.128</v>
          </cell>
          <cell r="V48">
            <v>0.128</v>
          </cell>
          <cell r="W48">
            <v>0.128</v>
          </cell>
          <cell r="X48">
            <v>0.128</v>
          </cell>
          <cell r="Y48">
            <v>0.128</v>
          </cell>
          <cell r="Z48">
            <v>0.128</v>
          </cell>
          <cell r="AA48">
            <v>0.128</v>
          </cell>
          <cell r="AB48">
            <v>0.128</v>
          </cell>
          <cell r="AC48">
            <v>0.128</v>
          </cell>
          <cell r="AD48">
            <v>0.128</v>
          </cell>
          <cell r="AE48">
            <v>0.128</v>
          </cell>
          <cell r="AF48">
            <v>0.128</v>
          </cell>
          <cell r="AG48">
            <v>0.128</v>
          </cell>
          <cell r="AH48">
            <v>0.128</v>
          </cell>
          <cell r="AI48">
            <v>0.128</v>
          </cell>
          <cell r="AJ48">
            <v>0.128</v>
          </cell>
          <cell r="AK48">
            <v>0.128</v>
          </cell>
          <cell r="AL48">
            <v>0.128</v>
          </cell>
          <cell r="AM48">
            <v>0.128</v>
          </cell>
          <cell r="AN48">
            <v>0.128</v>
          </cell>
          <cell r="AO48">
            <v>0.128</v>
          </cell>
          <cell r="AP48">
            <v>0.128</v>
          </cell>
          <cell r="AQ48">
            <v>0.128</v>
          </cell>
          <cell r="AR48">
            <v>0.128</v>
          </cell>
          <cell r="AS48">
            <v>0.128</v>
          </cell>
          <cell r="AT48">
            <v>0.128</v>
          </cell>
          <cell r="AU48">
            <v>0.128</v>
          </cell>
          <cell r="AV48">
            <v>0.128</v>
          </cell>
          <cell r="AW48">
            <v>0.128</v>
          </cell>
          <cell r="AX48">
            <v>0.128</v>
          </cell>
          <cell r="AY48">
            <v>0.128</v>
          </cell>
          <cell r="AZ48">
            <v>0.128</v>
          </cell>
          <cell r="BA48">
            <v>0.128</v>
          </cell>
          <cell r="BB48">
            <v>0.128</v>
          </cell>
          <cell r="BC48">
            <v>0.128</v>
          </cell>
          <cell r="BD48">
            <v>0.128</v>
          </cell>
          <cell r="BE48">
            <v>0.128</v>
          </cell>
          <cell r="BF48">
            <v>0.128</v>
          </cell>
          <cell r="BG48">
            <v>0.128</v>
          </cell>
          <cell r="BH48">
            <v>0.128</v>
          </cell>
          <cell r="BI48">
            <v>0.128</v>
          </cell>
          <cell r="BJ48">
            <v>0.128</v>
          </cell>
          <cell r="BK48">
            <v>0.128</v>
          </cell>
          <cell r="BL48">
            <v>0.128</v>
          </cell>
          <cell r="BM48">
            <v>0.128</v>
          </cell>
          <cell r="BN48">
            <v>0.128</v>
          </cell>
          <cell r="BO48">
            <v>0.128</v>
          </cell>
          <cell r="BP48">
            <v>0.128</v>
          </cell>
          <cell r="BQ48">
            <v>0.128</v>
          </cell>
          <cell r="BR48">
            <v>0.128</v>
          </cell>
          <cell r="BS48">
            <v>0.128</v>
          </cell>
          <cell r="BT48">
            <v>0.128</v>
          </cell>
          <cell r="BU48">
            <v>0.128</v>
          </cell>
          <cell r="BV48">
            <v>0.128</v>
          </cell>
          <cell r="BW48">
            <v>0.128</v>
          </cell>
          <cell r="BX48">
            <v>0.128</v>
          </cell>
          <cell r="BY48">
            <v>0.128</v>
          </cell>
          <cell r="BZ48">
            <v>0.128</v>
          </cell>
        </row>
        <row r="49">
          <cell r="B49" t="str">
            <v>INCAPACIDAD PERMANENTE PARCIAL</v>
          </cell>
          <cell r="C49">
            <v>0.23</v>
          </cell>
          <cell r="D49">
            <v>0.23</v>
          </cell>
          <cell r="E49">
            <v>0.23</v>
          </cell>
          <cell r="F49">
            <v>0.23</v>
          </cell>
          <cell r="G49">
            <v>0.23</v>
          </cell>
          <cell r="H49">
            <v>0.23</v>
          </cell>
          <cell r="I49">
            <v>0.23</v>
          </cell>
          <cell r="J49">
            <v>0.23</v>
          </cell>
          <cell r="K49">
            <v>0.23</v>
          </cell>
          <cell r="L49">
            <v>0.23</v>
          </cell>
          <cell r="M49">
            <v>0.23</v>
          </cell>
          <cell r="N49">
            <v>0.23</v>
          </cell>
          <cell r="O49">
            <v>0.23</v>
          </cell>
          <cell r="P49">
            <v>0.23</v>
          </cell>
          <cell r="Q49">
            <v>0.23</v>
          </cell>
          <cell r="R49">
            <v>0.23</v>
          </cell>
          <cell r="S49">
            <v>0.23</v>
          </cell>
          <cell r="T49">
            <v>0.23</v>
          </cell>
          <cell r="U49">
            <v>0.23</v>
          </cell>
          <cell r="V49">
            <v>0.23</v>
          </cell>
          <cell r="W49">
            <v>0.23</v>
          </cell>
          <cell r="X49">
            <v>0.23</v>
          </cell>
          <cell r="Y49">
            <v>0.23</v>
          </cell>
          <cell r="Z49">
            <v>0.23</v>
          </cell>
          <cell r="AA49">
            <v>0.23</v>
          </cell>
          <cell r="AB49">
            <v>0.23</v>
          </cell>
          <cell r="AC49">
            <v>0.23</v>
          </cell>
          <cell r="AD49">
            <v>0.23</v>
          </cell>
          <cell r="AE49">
            <v>0.23</v>
          </cell>
          <cell r="AF49">
            <v>0.23</v>
          </cell>
          <cell r="AG49">
            <v>0.23</v>
          </cell>
          <cell r="AH49">
            <v>0.23</v>
          </cell>
          <cell r="AI49">
            <v>0.23</v>
          </cell>
          <cell r="AJ49">
            <v>0.23</v>
          </cell>
          <cell r="AK49">
            <v>0.23</v>
          </cell>
          <cell r="AL49">
            <v>0.23</v>
          </cell>
          <cell r="AM49">
            <v>0.23</v>
          </cell>
          <cell r="AN49">
            <v>0.23</v>
          </cell>
          <cell r="AO49">
            <v>0.23</v>
          </cell>
          <cell r="AP49">
            <v>0.23</v>
          </cell>
          <cell r="AQ49">
            <v>0.23</v>
          </cell>
          <cell r="AR49">
            <v>0.23</v>
          </cell>
          <cell r="AS49">
            <v>0.23</v>
          </cell>
          <cell r="AT49">
            <v>0.23</v>
          </cell>
          <cell r="AU49">
            <v>0.23</v>
          </cell>
          <cell r="AV49">
            <v>0.23</v>
          </cell>
          <cell r="AW49">
            <v>0.23</v>
          </cell>
          <cell r="AX49">
            <v>0.23</v>
          </cell>
          <cell r="AY49">
            <v>0.23</v>
          </cell>
          <cell r="AZ49">
            <v>0.23</v>
          </cell>
          <cell r="BA49">
            <v>0.23</v>
          </cell>
          <cell r="BB49">
            <v>0.23</v>
          </cell>
          <cell r="BC49">
            <v>0.23</v>
          </cell>
          <cell r="BD49">
            <v>0.23</v>
          </cell>
          <cell r="BE49">
            <v>0.23</v>
          </cell>
          <cell r="BF49">
            <v>0.23</v>
          </cell>
          <cell r="BG49">
            <v>0.23</v>
          </cell>
          <cell r="BH49">
            <v>0.23</v>
          </cell>
          <cell r="BI49">
            <v>0.23</v>
          </cell>
          <cell r="BJ49">
            <v>0.23</v>
          </cell>
          <cell r="BK49">
            <v>0.23</v>
          </cell>
          <cell r="BL49">
            <v>0.23</v>
          </cell>
          <cell r="BM49">
            <v>0.23</v>
          </cell>
          <cell r="BN49">
            <v>0.23</v>
          </cell>
          <cell r="BO49">
            <v>0.23</v>
          </cell>
          <cell r="BP49">
            <v>0.23</v>
          </cell>
          <cell r="BQ49">
            <v>0.23</v>
          </cell>
          <cell r="BR49">
            <v>0.23</v>
          </cell>
          <cell r="BS49">
            <v>0.23</v>
          </cell>
          <cell r="BT49">
            <v>0.23</v>
          </cell>
          <cell r="BU49">
            <v>0.23</v>
          </cell>
          <cell r="BV49">
            <v>0.23</v>
          </cell>
          <cell r="BW49">
            <v>0.23</v>
          </cell>
          <cell r="BX49">
            <v>0.23</v>
          </cell>
          <cell r="BY49">
            <v>0.23</v>
          </cell>
          <cell r="BZ49">
            <v>0.23</v>
          </cell>
        </row>
        <row r="50">
          <cell r="B50" t="str">
            <v>INDEMNIZACION ADICIONAL POR ACCIDENTE ESPECÍFICO EN VUELO</v>
          </cell>
          <cell r="C50">
            <v>0.39</v>
          </cell>
          <cell r="D50">
            <v>0.39</v>
          </cell>
          <cell r="E50">
            <v>0.39</v>
          </cell>
          <cell r="F50">
            <v>0.39</v>
          </cell>
          <cell r="G50">
            <v>0.39</v>
          </cell>
          <cell r="H50">
            <v>0.39</v>
          </cell>
          <cell r="I50">
            <v>0.39</v>
          </cell>
          <cell r="J50">
            <v>0.39</v>
          </cell>
          <cell r="K50">
            <v>0.39</v>
          </cell>
          <cell r="L50">
            <v>0.39</v>
          </cell>
          <cell r="M50">
            <v>0.39</v>
          </cell>
          <cell r="N50">
            <v>0.39</v>
          </cell>
          <cell r="O50">
            <v>0.39</v>
          </cell>
          <cell r="P50">
            <v>0.39</v>
          </cell>
          <cell r="Q50">
            <v>0.39</v>
          </cell>
          <cell r="R50">
            <v>0.39</v>
          </cell>
          <cell r="S50">
            <v>0.39</v>
          </cell>
          <cell r="T50">
            <v>0.39</v>
          </cell>
          <cell r="U50">
            <v>0.39</v>
          </cell>
          <cell r="V50">
            <v>0.39</v>
          </cell>
          <cell r="W50">
            <v>0.39</v>
          </cell>
          <cell r="X50">
            <v>0.39</v>
          </cell>
          <cell r="Y50">
            <v>0.39</v>
          </cell>
          <cell r="Z50">
            <v>0.39</v>
          </cell>
          <cell r="AA50">
            <v>0.39</v>
          </cell>
          <cell r="AB50">
            <v>0.39</v>
          </cell>
          <cell r="AC50">
            <v>0.39</v>
          </cell>
          <cell r="AD50">
            <v>0.39</v>
          </cell>
          <cell r="AE50">
            <v>0.39</v>
          </cell>
          <cell r="AF50">
            <v>0.39</v>
          </cell>
          <cell r="AG50">
            <v>0.39</v>
          </cell>
          <cell r="AH50">
            <v>0.39</v>
          </cell>
          <cell r="AI50">
            <v>0.39</v>
          </cell>
          <cell r="AJ50">
            <v>0.39</v>
          </cell>
          <cell r="AK50">
            <v>0.39</v>
          </cell>
          <cell r="AL50">
            <v>0.39</v>
          </cell>
          <cell r="AM50">
            <v>0.39</v>
          </cell>
          <cell r="AN50">
            <v>0.39</v>
          </cell>
          <cell r="AO50">
            <v>0.39</v>
          </cell>
          <cell r="AP50">
            <v>0.39</v>
          </cell>
          <cell r="AQ50">
            <v>0.39</v>
          </cell>
          <cell r="AR50">
            <v>0.39</v>
          </cell>
          <cell r="AS50">
            <v>0.39</v>
          </cell>
          <cell r="AT50">
            <v>0.39</v>
          </cell>
          <cell r="AU50">
            <v>0.39</v>
          </cell>
          <cell r="AV50">
            <v>0.39</v>
          </cell>
          <cell r="AW50">
            <v>0.39</v>
          </cell>
          <cell r="AX50">
            <v>0.39</v>
          </cell>
          <cell r="AY50">
            <v>0.39</v>
          </cell>
          <cell r="AZ50">
            <v>0.39</v>
          </cell>
          <cell r="BA50">
            <v>0.39</v>
          </cell>
          <cell r="BB50">
            <v>0.39</v>
          </cell>
          <cell r="BC50">
            <v>0.39</v>
          </cell>
          <cell r="BD50">
            <v>0.39</v>
          </cell>
          <cell r="BE50">
            <v>0.39</v>
          </cell>
          <cell r="BF50">
            <v>0.39</v>
          </cell>
          <cell r="BG50">
            <v>0.39</v>
          </cell>
          <cell r="BH50">
            <v>0.39</v>
          </cell>
          <cell r="BI50">
            <v>0.39</v>
          </cell>
          <cell r="BJ50">
            <v>0.39</v>
          </cell>
          <cell r="BK50">
            <v>0.39</v>
          </cell>
          <cell r="BL50">
            <v>0.39</v>
          </cell>
          <cell r="BM50">
            <v>0.39</v>
          </cell>
          <cell r="BN50">
            <v>0.39</v>
          </cell>
          <cell r="BO50">
            <v>0.39</v>
          </cell>
          <cell r="BP50">
            <v>0.39</v>
          </cell>
          <cell r="BQ50">
            <v>0.39</v>
          </cell>
          <cell r="BR50">
            <v>0.39</v>
          </cell>
          <cell r="BS50">
            <v>0.39</v>
          </cell>
          <cell r="BT50">
            <v>0.39</v>
          </cell>
          <cell r="BU50">
            <v>0.39</v>
          </cell>
          <cell r="BV50">
            <v>0.39</v>
          </cell>
          <cell r="BW50">
            <v>0.39</v>
          </cell>
          <cell r="BX50">
            <v>0.39</v>
          </cell>
          <cell r="BY50">
            <v>0.39</v>
          </cell>
          <cell r="BZ50">
            <v>0.39</v>
          </cell>
        </row>
        <row r="51">
          <cell r="B51" t="str">
            <v>INVALIDEZ</v>
          </cell>
          <cell r="C51">
            <v>0.128</v>
          </cell>
          <cell r="D51">
            <v>0.128</v>
          </cell>
          <cell r="E51">
            <v>0.128</v>
          </cell>
          <cell r="F51">
            <v>0.128</v>
          </cell>
          <cell r="G51">
            <v>0.128</v>
          </cell>
          <cell r="H51">
            <v>0.128</v>
          </cell>
          <cell r="I51">
            <v>0.128</v>
          </cell>
          <cell r="J51">
            <v>0.128</v>
          </cell>
          <cell r="K51">
            <v>0.128</v>
          </cell>
          <cell r="L51">
            <v>0.128</v>
          </cell>
          <cell r="M51">
            <v>0.128</v>
          </cell>
          <cell r="N51">
            <v>0.128</v>
          </cell>
          <cell r="O51">
            <v>0.128</v>
          </cell>
          <cell r="P51">
            <v>0.128</v>
          </cell>
          <cell r="Q51">
            <v>0.128</v>
          </cell>
          <cell r="R51">
            <v>0.128</v>
          </cell>
          <cell r="S51">
            <v>0.128</v>
          </cell>
          <cell r="T51">
            <v>0.128</v>
          </cell>
          <cell r="U51">
            <v>0.128</v>
          </cell>
          <cell r="V51">
            <v>0.128</v>
          </cell>
          <cell r="W51">
            <v>0.128</v>
          </cell>
          <cell r="X51">
            <v>0.128</v>
          </cell>
          <cell r="Y51">
            <v>0.128</v>
          </cell>
          <cell r="Z51">
            <v>0.128</v>
          </cell>
          <cell r="AA51">
            <v>0.128</v>
          </cell>
          <cell r="AB51">
            <v>0.128</v>
          </cell>
          <cell r="AC51">
            <v>0.128</v>
          </cell>
          <cell r="AD51">
            <v>0.128</v>
          </cell>
          <cell r="AE51">
            <v>0.128</v>
          </cell>
          <cell r="AF51">
            <v>0.128</v>
          </cell>
          <cell r="AG51">
            <v>0.128</v>
          </cell>
          <cell r="AH51">
            <v>0.128</v>
          </cell>
          <cell r="AI51">
            <v>0.128</v>
          </cell>
          <cell r="AJ51">
            <v>0.128</v>
          </cell>
          <cell r="AK51">
            <v>0.128</v>
          </cell>
          <cell r="AL51">
            <v>0.128</v>
          </cell>
          <cell r="AM51">
            <v>0.128</v>
          </cell>
          <cell r="AN51">
            <v>0.128</v>
          </cell>
          <cell r="AO51">
            <v>0.128</v>
          </cell>
          <cell r="AP51">
            <v>0.128</v>
          </cell>
          <cell r="AQ51">
            <v>0.128</v>
          </cell>
          <cell r="AR51">
            <v>0.128</v>
          </cell>
          <cell r="AS51">
            <v>0.128</v>
          </cell>
          <cell r="AT51">
            <v>0.128</v>
          </cell>
          <cell r="AU51">
            <v>0.128</v>
          </cell>
          <cell r="AV51">
            <v>0.128</v>
          </cell>
          <cell r="AW51">
            <v>0.128</v>
          </cell>
          <cell r="AX51">
            <v>0.128</v>
          </cell>
          <cell r="AY51">
            <v>0.128</v>
          </cell>
          <cell r="AZ51">
            <v>0.128</v>
          </cell>
          <cell r="BA51">
            <v>0.128</v>
          </cell>
          <cell r="BB51">
            <v>0.128</v>
          </cell>
          <cell r="BC51">
            <v>0.128</v>
          </cell>
          <cell r="BD51">
            <v>0.128</v>
          </cell>
          <cell r="BE51">
            <v>0.128</v>
          </cell>
          <cell r="BF51">
            <v>0.128</v>
          </cell>
          <cell r="BG51">
            <v>0.128</v>
          </cell>
          <cell r="BH51">
            <v>0.128</v>
          </cell>
          <cell r="BI51">
            <v>0.128</v>
          </cell>
          <cell r="BJ51">
            <v>0.128</v>
          </cell>
          <cell r="BK51">
            <v>0.128</v>
          </cell>
          <cell r="BL51">
            <v>0.128</v>
          </cell>
          <cell r="BM51">
            <v>0.128</v>
          </cell>
          <cell r="BN51">
            <v>0.128</v>
          </cell>
          <cell r="BO51">
            <v>0.128</v>
          </cell>
          <cell r="BP51">
            <v>0.128</v>
          </cell>
          <cell r="BQ51">
            <v>0.128</v>
          </cell>
          <cell r="BR51">
            <v>0.128</v>
          </cell>
          <cell r="BS51">
            <v>0.128</v>
          </cell>
          <cell r="BT51">
            <v>0.128</v>
          </cell>
          <cell r="BU51">
            <v>0.128</v>
          </cell>
          <cell r="BV51">
            <v>0.128</v>
          </cell>
          <cell r="BW51">
            <v>0.128</v>
          </cell>
          <cell r="BX51">
            <v>0.128</v>
          </cell>
          <cell r="BY51">
            <v>0.128</v>
          </cell>
          <cell r="BZ51">
            <v>0.128</v>
          </cell>
        </row>
        <row r="52">
          <cell r="B52" t="str">
            <v>INVALIDEZ O DESMEMBRACIÓN ACCIDENTAL</v>
          </cell>
          <cell r="C52">
            <v>0.21600000000000003</v>
          </cell>
          <cell r="D52">
            <v>0.21600000000000003</v>
          </cell>
          <cell r="E52">
            <v>0.21600000000000003</v>
          </cell>
          <cell r="F52">
            <v>0.21600000000000003</v>
          </cell>
          <cell r="G52">
            <v>0.21600000000000003</v>
          </cell>
          <cell r="H52">
            <v>0.21600000000000003</v>
          </cell>
          <cell r="I52">
            <v>0.21600000000000003</v>
          </cell>
          <cell r="J52">
            <v>0.21600000000000003</v>
          </cell>
          <cell r="K52">
            <v>0.21600000000000003</v>
          </cell>
          <cell r="L52">
            <v>0.21600000000000003</v>
          </cell>
          <cell r="M52">
            <v>0.21600000000000003</v>
          </cell>
          <cell r="N52">
            <v>0.21600000000000003</v>
          </cell>
          <cell r="O52">
            <v>0.21600000000000003</v>
          </cell>
          <cell r="P52">
            <v>0.21600000000000003</v>
          </cell>
          <cell r="Q52">
            <v>0.21600000000000003</v>
          </cell>
          <cell r="R52">
            <v>0.21600000000000003</v>
          </cell>
          <cell r="S52">
            <v>0.21600000000000003</v>
          </cell>
          <cell r="T52">
            <v>0.21600000000000003</v>
          </cell>
          <cell r="U52">
            <v>0.21600000000000003</v>
          </cell>
          <cell r="V52">
            <v>0.21600000000000003</v>
          </cell>
          <cell r="W52">
            <v>0.21600000000000003</v>
          </cell>
          <cell r="X52">
            <v>0.21600000000000003</v>
          </cell>
          <cell r="Y52">
            <v>0.21600000000000003</v>
          </cell>
          <cell r="Z52">
            <v>0.21600000000000003</v>
          </cell>
          <cell r="AA52">
            <v>0.21600000000000003</v>
          </cell>
          <cell r="AB52">
            <v>0.21600000000000003</v>
          </cell>
          <cell r="AC52">
            <v>0.21600000000000003</v>
          </cell>
          <cell r="AD52">
            <v>0.21600000000000003</v>
          </cell>
          <cell r="AE52">
            <v>0.21600000000000003</v>
          </cell>
          <cell r="AF52">
            <v>0.21600000000000003</v>
          </cell>
          <cell r="AG52">
            <v>0.21600000000000003</v>
          </cell>
          <cell r="AH52">
            <v>0.21600000000000003</v>
          </cell>
          <cell r="AI52">
            <v>0.21600000000000003</v>
          </cell>
          <cell r="AJ52">
            <v>0.21600000000000003</v>
          </cell>
          <cell r="AK52">
            <v>0.21600000000000003</v>
          </cell>
          <cell r="AL52">
            <v>0.21600000000000003</v>
          </cell>
          <cell r="AM52">
            <v>0.21600000000000003</v>
          </cell>
          <cell r="AN52">
            <v>0.21600000000000003</v>
          </cell>
          <cell r="AO52">
            <v>0.21600000000000003</v>
          </cell>
          <cell r="AP52">
            <v>0.21600000000000003</v>
          </cell>
          <cell r="AQ52">
            <v>0.21600000000000003</v>
          </cell>
          <cell r="AR52">
            <v>0.21600000000000003</v>
          </cell>
          <cell r="AS52">
            <v>0.21600000000000003</v>
          </cell>
          <cell r="AT52">
            <v>0.21600000000000003</v>
          </cell>
          <cell r="AU52">
            <v>0.21600000000000003</v>
          </cell>
          <cell r="AV52">
            <v>0.21600000000000003</v>
          </cell>
          <cell r="AW52">
            <v>0.21600000000000003</v>
          </cell>
          <cell r="AX52">
            <v>0.21600000000000003</v>
          </cell>
          <cell r="AY52">
            <v>0.21600000000000003</v>
          </cell>
          <cell r="AZ52">
            <v>0.21600000000000003</v>
          </cell>
          <cell r="BA52">
            <v>0.21600000000000003</v>
          </cell>
          <cell r="BB52">
            <v>0.21600000000000003</v>
          </cell>
          <cell r="BC52">
            <v>0.21600000000000003</v>
          </cell>
          <cell r="BD52">
            <v>0.21600000000000003</v>
          </cell>
          <cell r="BE52">
            <v>0.21600000000000003</v>
          </cell>
          <cell r="BF52">
            <v>0.21600000000000003</v>
          </cell>
          <cell r="BG52">
            <v>0.21600000000000003</v>
          </cell>
          <cell r="BH52">
            <v>0.21600000000000003</v>
          </cell>
          <cell r="BI52">
            <v>0.21600000000000003</v>
          </cell>
          <cell r="BJ52">
            <v>0.21600000000000003</v>
          </cell>
          <cell r="BK52">
            <v>0.21600000000000003</v>
          </cell>
          <cell r="BL52">
            <v>0.21600000000000003</v>
          </cell>
          <cell r="BM52">
            <v>0.21600000000000003</v>
          </cell>
          <cell r="BN52">
            <v>0.21600000000000003</v>
          </cell>
          <cell r="BO52">
            <v>0.21600000000000003</v>
          </cell>
          <cell r="BP52">
            <v>0.21600000000000003</v>
          </cell>
          <cell r="BQ52">
            <v>0.21600000000000003</v>
          </cell>
          <cell r="BR52">
            <v>0.21600000000000003</v>
          </cell>
          <cell r="BS52">
            <v>0.21600000000000003</v>
          </cell>
          <cell r="BT52">
            <v>0.21600000000000003</v>
          </cell>
          <cell r="BU52">
            <v>0.21600000000000003</v>
          </cell>
          <cell r="BV52">
            <v>0.21600000000000003</v>
          </cell>
          <cell r="BW52">
            <v>0.21600000000000003</v>
          </cell>
          <cell r="BX52">
            <v>0.21600000000000003</v>
          </cell>
          <cell r="BY52">
            <v>0.21600000000000003</v>
          </cell>
          <cell r="BZ52">
            <v>0.21600000000000003</v>
          </cell>
        </row>
        <row r="53">
          <cell r="B53" t="str">
            <v>INVALIDEZ O DESMEMBRACIÓN ACCIDENTAL INCLUYE HOMICIDIO Y SUICIDIO</v>
          </cell>
          <cell r="C53">
            <v>0.26400000000000007</v>
          </cell>
          <cell r="D53">
            <v>0.26400000000000007</v>
          </cell>
          <cell r="E53">
            <v>0.26400000000000007</v>
          </cell>
          <cell r="F53">
            <v>0.26400000000000007</v>
          </cell>
          <cell r="G53">
            <v>0.26400000000000007</v>
          </cell>
          <cell r="H53">
            <v>0.26400000000000007</v>
          </cell>
          <cell r="I53">
            <v>0.26400000000000007</v>
          </cell>
          <cell r="J53">
            <v>0.26400000000000007</v>
          </cell>
          <cell r="K53">
            <v>0.26400000000000007</v>
          </cell>
          <cell r="L53">
            <v>0.26400000000000007</v>
          </cell>
          <cell r="M53">
            <v>0.26400000000000007</v>
          </cell>
          <cell r="N53">
            <v>0.26400000000000007</v>
          </cell>
          <cell r="O53">
            <v>0.26400000000000007</v>
          </cell>
          <cell r="P53">
            <v>0.26400000000000007</v>
          </cell>
          <cell r="Q53">
            <v>0.26400000000000007</v>
          </cell>
          <cell r="R53">
            <v>0.26400000000000007</v>
          </cell>
          <cell r="S53">
            <v>0.26400000000000007</v>
          </cell>
          <cell r="T53">
            <v>0.26400000000000007</v>
          </cell>
          <cell r="U53">
            <v>0.26400000000000007</v>
          </cell>
          <cell r="V53">
            <v>0.26400000000000007</v>
          </cell>
          <cell r="W53">
            <v>0.26400000000000007</v>
          </cell>
          <cell r="X53">
            <v>0.26400000000000007</v>
          </cell>
          <cell r="Y53">
            <v>0.26400000000000007</v>
          </cell>
          <cell r="Z53">
            <v>0.26400000000000007</v>
          </cell>
          <cell r="AA53">
            <v>0.26400000000000007</v>
          </cell>
          <cell r="AB53">
            <v>0.26400000000000007</v>
          </cell>
          <cell r="AC53">
            <v>0.26400000000000007</v>
          </cell>
          <cell r="AD53">
            <v>0.26400000000000007</v>
          </cell>
          <cell r="AE53">
            <v>0.26400000000000007</v>
          </cell>
          <cell r="AF53">
            <v>0.26400000000000007</v>
          </cell>
          <cell r="AG53">
            <v>0.26400000000000007</v>
          </cell>
          <cell r="AH53">
            <v>0.26400000000000007</v>
          </cell>
          <cell r="AI53">
            <v>0.26400000000000007</v>
          </cell>
          <cell r="AJ53">
            <v>0.26400000000000007</v>
          </cell>
          <cell r="AK53">
            <v>0.26400000000000007</v>
          </cell>
          <cell r="AL53">
            <v>0.26400000000000007</v>
          </cell>
          <cell r="AM53">
            <v>0.26400000000000007</v>
          </cell>
          <cell r="AN53">
            <v>0.26400000000000007</v>
          </cell>
          <cell r="AO53">
            <v>0.26400000000000007</v>
          </cell>
          <cell r="AP53">
            <v>0.26400000000000007</v>
          </cell>
          <cell r="AQ53">
            <v>0.26400000000000007</v>
          </cell>
          <cell r="AR53">
            <v>0.26400000000000007</v>
          </cell>
          <cell r="AS53">
            <v>0.26400000000000007</v>
          </cell>
          <cell r="AT53">
            <v>0.26400000000000007</v>
          </cell>
          <cell r="AU53">
            <v>0.26400000000000007</v>
          </cell>
          <cell r="AV53">
            <v>0.26400000000000007</v>
          </cell>
          <cell r="AW53">
            <v>0.26400000000000007</v>
          </cell>
          <cell r="AX53">
            <v>0.26400000000000007</v>
          </cell>
          <cell r="AY53">
            <v>0.26400000000000007</v>
          </cell>
          <cell r="AZ53">
            <v>0.26400000000000007</v>
          </cell>
          <cell r="BA53">
            <v>0.26400000000000007</v>
          </cell>
          <cell r="BB53">
            <v>0.26400000000000007</v>
          </cell>
          <cell r="BC53">
            <v>0.26400000000000007</v>
          </cell>
          <cell r="BD53">
            <v>0.26400000000000007</v>
          </cell>
          <cell r="BE53">
            <v>0.26400000000000007</v>
          </cell>
          <cell r="BF53">
            <v>0.26400000000000007</v>
          </cell>
          <cell r="BG53">
            <v>0.26400000000000007</v>
          </cell>
          <cell r="BH53">
            <v>0.26400000000000007</v>
          </cell>
          <cell r="BI53">
            <v>0.26400000000000007</v>
          </cell>
          <cell r="BJ53">
            <v>0.26400000000000007</v>
          </cell>
          <cell r="BK53">
            <v>0.26400000000000007</v>
          </cell>
          <cell r="BL53">
            <v>0.26400000000000007</v>
          </cell>
          <cell r="BM53">
            <v>0.26400000000000007</v>
          </cell>
          <cell r="BN53">
            <v>0.26400000000000007</v>
          </cell>
          <cell r="BO53">
            <v>0.26400000000000007</v>
          </cell>
          <cell r="BP53">
            <v>0.26400000000000007</v>
          </cell>
          <cell r="BQ53">
            <v>0.26400000000000007</v>
          </cell>
          <cell r="BR53">
            <v>0.26400000000000007</v>
          </cell>
          <cell r="BS53">
            <v>0.26400000000000007</v>
          </cell>
          <cell r="BT53">
            <v>0.26400000000000007</v>
          </cell>
          <cell r="BU53">
            <v>0.26400000000000007</v>
          </cell>
          <cell r="BV53">
            <v>0.26400000000000007</v>
          </cell>
          <cell r="BW53">
            <v>0.26400000000000007</v>
          </cell>
          <cell r="BX53">
            <v>0.26400000000000007</v>
          </cell>
          <cell r="BY53">
            <v>0.26400000000000007</v>
          </cell>
          <cell r="BZ53">
            <v>0.26400000000000007</v>
          </cell>
        </row>
        <row r="54">
          <cell r="B54" t="str">
            <v>TRASPLANTE DE ÓRGANOS</v>
          </cell>
          <cell r="C54">
            <v>0.64440000000000008</v>
          </cell>
          <cell r="D54">
            <v>0.64440000000000008</v>
          </cell>
          <cell r="E54">
            <v>0.64440000000000008</v>
          </cell>
          <cell r="F54">
            <v>0.64440000000000008</v>
          </cell>
          <cell r="G54">
            <v>0.64440000000000008</v>
          </cell>
          <cell r="H54">
            <v>0.64440000000000008</v>
          </cell>
          <cell r="I54">
            <v>0.64440000000000008</v>
          </cell>
          <cell r="J54">
            <v>0.64440000000000008</v>
          </cell>
          <cell r="K54">
            <v>0.64440000000000008</v>
          </cell>
          <cell r="L54">
            <v>0.64440000000000008</v>
          </cell>
          <cell r="M54">
            <v>0.64440000000000008</v>
          </cell>
          <cell r="N54">
            <v>0.64440000000000008</v>
          </cell>
          <cell r="O54">
            <v>0.64440000000000008</v>
          </cell>
          <cell r="P54">
            <v>0.64440000000000008</v>
          </cell>
          <cell r="Q54">
            <v>0.64440000000000008</v>
          </cell>
          <cell r="R54">
            <v>0.64440000000000008</v>
          </cell>
          <cell r="S54">
            <v>0.64440000000000008</v>
          </cell>
          <cell r="T54">
            <v>0.64440000000000008</v>
          </cell>
          <cell r="U54">
            <v>0.64440000000000008</v>
          </cell>
          <cell r="V54">
            <v>0.64440000000000008</v>
          </cell>
          <cell r="W54">
            <v>0.64440000000000008</v>
          </cell>
          <cell r="X54">
            <v>0.64440000000000008</v>
          </cell>
          <cell r="Y54">
            <v>0.64440000000000008</v>
          </cell>
          <cell r="Z54">
            <v>0.64440000000000008</v>
          </cell>
          <cell r="AA54">
            <v>0.64440000000000008</v>
          </cell>
          <cell r="AB54">
            <v>0.64440000000000008</v>
          </cell>
          <cell r="AC54">
            <v>0.64440000000000008</v>
          </cell>
          <cell r="AD54">
            <v>0.64440000000000008</v>
          </cell>
          <cell r="AE54">
            <v>0.64440000000000008</v>
          </cell>
          <cell r="AF54">
            <v>0.64440000000000008</v>
          </cell>
          <cell r="AG54">
            <v>0.64440000000000008</v>
          </cell>
          <cell r="AH54">
            <v>0.64440000000000008</v>
          </cell>
          <cell r="AI54">
            <v>0.64440000000000008</v>
          </cell>
          <cell r="AJ54">
            <v>0.64440000000000008</v>
          </cell>
          <cell r="AK54">
            <v>0.64440000000000008</v>
          </cell>
          <cell r="AL54">
            <v>0.64440000000000008</v>
          </cell>
          <cell r="AM54">
            <v>0.64440000000000008</v>
          </cell>
          <cell r="AN54">
            <v>0.64440000000000008</v>
          </cell>
          <cell r="AO54">
            <v>0.64440000000000008</v>
          </cell>
          <cell r="AP54">
            <v>0.64440000000000008</v>
          </cell>
          <cell r="AQ54">
            <v>0.64440000000000008</v>
          </cell>
          <cell r="AR54">
            <v>0.64440000000000008</v>
          </cell>
          <cell r="AS54">
            <v>0.64440000000000008</v>
          </cell>
          <cell r="AT54">
            <v>0.64440000000000008</v>
          </cell>
          <cell r="AU54">
            <v>0.64440000000000008</v>
          </cell>
          <cell r="AV54">
            <v>0.64440000000000008</v>
          </cell>
          <cell r="AW54">
            <v>0.64440000000000008</v>
          </cell>
          <cell r="AX54">
            <v>0.64440000000000008</v>
          </cell>
          <cell r="AY54">
            <v>0.64440000000000008</v>
          </cell>
          <cell r="AZ54">
            <v>0.64440000000000008</v>
          </cell>
          <cell r="BA54">
            <v>0.64440000000000008</v>
          </cell>
          <cell r="BB54">
            <v>0.64440000000000008</v>
          </cell>
          <cell r="BC54">
            <v>0.64440000000000008</v>
          </cell>
          <cell r="BD54">
            <v>0.64440000000000008</v>
          </cell>
          <cell r="BE54">
            <v>0.64440000000000008</v>
          </cell>
          <cell r="BF54">
            <v>0.64440000000000008</v>
          </cell>
          <cell r="BG54">
            <v>0.64440000000000008</v>
          </cell>
          <cell r="BH54">
            <v>0.64440000000000008</v>
          </cell>
          <cell r="BI54">
            <v>0.64440000000000008</v>
          </cell>
          <cell r="BJ54">
            <v>0.64440000000000008</v>
          </cell>
          <cell r="BK54">
            <v>0.64440000000000008</v>
          </cell>
          <cell r="BL54">
            <v>0.64440000000000008</v>
          </cell>
          <cell r="BM54">
            <v>0.64440000000000008</v>
          </cell>
          <cell r="BN54">
            <v>0.64440000000000008</v>
          </cell>
          <cell r="BO54">
            <v>0.64440000000000008</v>
          </cell>
          <cell r="BP54">
            <v>0.64440000000000008</v>
          </cell>
          <cell r="BQ54">
            <v>0.64440000000000008</v>
          </cell>
          <cell r="BR54">
            <v>0.64440000000000008</v>
          </cell>
          <cell r="BS54">
            <v>0.64440000000000008</v>
          </cell>
          <cell r="BT54">
            <v>0.64440000000000008</v>
          </cell>
          <cell r="BU54">
            <v>0.64440000000000008</v>
          </cell>
          <cell r="BV54">
            <v>0.64440000000000008</v>
          </cell>
          <cell r="BW54">
            <v>0.64440000000000008</v>
          </cell>
          <cell r="BX54">
            <v>0.64440000000000008</v>
          </cell>
          <cell r="BY54">
            <v>0.64440000000000008</v>
          </cell>
          <cell r="BZ54">
            <v>0.64440000000000008</v>
          </cell>
        </row>
        <row r="55">
          <cell r="B55" t="str">
            <v>RENTA LIBRE DESTINACION POR INCAPACIDAD TOTAL Y PERMANENTE</v>
          </cell>
          <cell r="C55">
            <v>0.128</v>
          </cell>
          <cell r="D55">
            <v>0.128</v>
          </cell>
          <cell r="E55">
            <v>0.128</v>
          </cell>
          <cell r="F55">
            <v>0.128</v>
          </cell>
          <cell r="G55">
            <v>0.128</v>
          </cell>
          <cell r="H55">
            <v>0.128</v>
          </cell>
          <cell r="I55">
            <v>0.128</v>
          </cell>
          <cell r="J55">
            <v>0.128</v>
          </cell>
          <cell r="K55">
            <v>0.128</v>
          </cell>
          <cell r="L55">
            <v>0.128</v>
          </cell>
          <cell r="M55">
            <v>0.128</v>
          </cell>
          <cell r="N55">
            <v>0.128</v>
          </cell>
          <cell r="O55">
            <v>0.128</v>
          </cell>
          <cell r="P55">
            <v>0.128</v>
          </cell>
          <cell r="Q55">
            <v>0.128</v>
          </cell>
          <cell r="R55">
            <v>0.128</v>
          </cell>
          <cell r="S55">
            <v>0.128</v>
          </cell>
          <cell r="T55">
            <v>0.128</v>
          </cell>
          <cell r="U55">
            <v>0.128</v>
          </cell>
          <cell r="V55">
            <v>0.128</v>
          </cell>
          <cell r="W55">
            <v>0.128</v>
          </cell>
          <cell r="X55">
            <v>0.12</v>
          </cell>
          <cell r="Y55">
            <v>0.11200000000000002</v>
          </cell>
          <cell r="Z55">
            <v>0.10400000000000001</v>
          </cell>
          <cell r="AA55">
            <v>9.6000000000000002E-2</v>
          </cell>
          <cell r="AB55">
            <v>9.6000000000000002E-2</v>
          </cell>
          <cell r="AC55">
            <v>9.6000000000000002E-2</v>
          </cell>
          <cell r="AD55">
            <v>8.8000000000000009E-2</v>
          </cell>
          <cell r="AE55">
            <v>8.8000000000000009E-2</v>
          </cell>
          <cell r="AF55">
            <v>9.6000000000000002E-2</v>
          </cell>
          <cell r="AG55">
            <v>9.6000000000000002E-2</v>
          </cell>
          <cell r="AH55">
            <v>9.6000000000000002E-2</v>
          </cell>
          <cell r="AI55">
            <v>0.10400000000000001</v>
          </cell>
          <cell r="AJ55">
            <v>0.11200000000000002</v>
          </cell>
          <cell r="AK55">
            <v>0.12</v>
          </cell>
          <cell r="AL55">
            <v>0.128</v>
          </cell>
          <cell r="AM55">
            <v>0.13600000000000001</v>
          </cell>
          <cell r="AN55">
            <v>0.14399999999999999</v>
          </cell>
          <cell r="AO55">
            <v>0.16000000000000003</v>
          </cell>
          <cell r="AP55">
            <v>0.17600000000000002</v>
          </cell>
          <cell r="AQ55">
            <v>0.18400000000000002</v>
          </cell>
          <cell r="AR55">
            <v>0.2</v>
          </cell>
          <cell r="AS55">
            <v>0.22400000000000003</v>
          </cell>
          <cell r="AT55">
            <v>0.24</v>
          </cell>
          <cell r="AU55">
            <v>0.25600000000000001</v>
          </cell>
          <cell r="AV55">
            <v>0.27999999999999997</v>
          </cell>
          <cell r="AW55">
            <v>0.30400000000000005</v>
          </cell>
          <cell r="AX55">
            <v>0.32800000000000001</v>
          </cell>
          <cell r="AY55">
            <v>0.35200000000000004</v>
          </cell>
          <cell r="AZ55">
            <v>0.376</v>
          </cell>
          <cell r="BA55">
            <v>0.40800000000000003</v>
          </cell>
          <cell r="BB55">
            <v>0.43200000000000005</v>
          </cell>
          <cell r="BC55">
            <v>0.46399999999999997</v>
          </cell>
          <cell r="BD55">
            <v>0.496</v>
          </cell>
          <cell r="BE55">
            <v>0.52800000000000002</v>
          </cell>
          <cell r="BF55">
            <v>0.55999999999999994</v>
          </cell>
          <cell r="BG55">
            <v>0.59199999999999997</v>
          </cell>
          <cell r="BH55">
            <v>0.63200000000000012</v>
          </cell>
          <cell r="BI55">
            <v>0.67200000000000004</v>
          </cell>
          <cell r="BJ55">
            <v>0.70400000000000007</v>
          </cell>
          <cell r="BK55">
            <v>0.74400000000000011</v>
          </cell>
          <cell r="BL55">
            <v>0.79200000000000004</v>
          </cell>
          <cell r="BM55">
            <v>0.83200000000000007</v>
          </cell>
          <cell r="BN55">
            <v>0.872</v>
          </cell>
          <cell r="BO55">
            <v>0.91999999999999993</v>
          </cell>
          <cell r="BP55">
            <v>0.96799999999999997</v>
          </cell>
          <cell r="BQ55">
            <v>1.016</v>
          </cell>
          <cell r="BR55">
            <v>1.0640000000000001</v>
          </cell>
          <cell r="BS55">
            <v>1.1119999999999999</v>
          </cell>
          <cell r="BT55">
            <v>1.1599999999999999</v>
          </cell>
          <cell r="BU55">
            <v>1.2160000000000002</v>
          </cell>
          <cell r="BV55">
            <v>1.2160000000000002</v>
          </cell>
          <cell r="BW55">
            <v>1.2160000000000002</v>
          </cell>
          <cell r="BX55">
            <v>1.2160000000000002</v>
          </cell>
          <cell r="BY55">
            <v>1.2160000000000002</v>
          </cell>
          <cell r="BZ55">
            <v>1.2160000000000002</v>
          </cell>
        </row>
        <row r="56">
          <cell r="B56" t="str">
            <v>RENTA MENSUAL PARA GASTOS DE ESTUDIO POR MUERTE</v>
          </cell>
          <cell r="C56">
            <v>1.2149999999999916</v>
          </cell>
          <cell r="D56">
            <v>1.2149999999999916</v>
          </cell>
          <cell r="E56">
            <v>1.2149999999999916</v>
          </cell>
          <cell r="F56">
            <v>1.2149999999999916</v>
          </cell>
          <cell r="G56">
            <v>1.2149999999999916</v>
          </cell>
          <cell r="H56">
            <v>1.2149999999999916</v>
          </cell>
          <cell r="I56">
            <v>1.2149999999999916</v>
          </cell>
          <cell r="J56">
            <v>1.2149999999999916</v>
          </cell>
          <cell r="K56">
            <v>1.2149999999999916</v>
          </cell>
          <cell r="L56">
            <v>1.2149999999999916</v>
          </cell>
          <cell r="M56">
            <v>1.2149999999999916</v>
          </cell>
          <cell r="N56">
            <v>1.2149999999999916</v>
          </cell>
          <cell r="O56">
            <v>1.2149999999999916</v>
          </cell>
          <cell r="P56">
            <v>1.2149999999999916</v>
          </cell>
          <cell r="Q56">
            <v>1.2149999999999916</v>
          </cell>
          <cell r="R56">
            <v>1.2149999999999916</v>
          </cell>
          <cell r="S56">
            <v>1.2149999999999916</v>
          </cell>
          <cell r="T56">
            <v>1.2149999999999916</v>
          </cell>
          <cell r="U56">
            <v>1.2149999999999916</v>
          </cell>
          <cell r="V56">
            <v>1.2150000000000067</v>
          </cell>
          <cell r="W56">
            <v>1.2149999999999999</v>
          </cell>
          <cell r="X56">
            <v>1.2336336502838461</v>
          </cell>
          <cell r="Y56">
            <v>1.2549034008330024</v>
          </cell>
          <cell r="Z56">
            <v>1.2738115741835121</v>
          </cell>
          <cell r="AA56">
            <v>1.2928382088962076</v>
          </cell>
          <cell r="AB56">
            <v>1.3043825741274109</v>
          </cell>
          <cell r="AC56">
            <v>1.3210645434186523</v>
          </cell>
          <cell r="AD56">
            <v>1.3327592457605</v>
          </cell>
          <cell r="AE56">
            <v>1.3470467781465878</v>
          </cell>
          <cell r="AF56">
            <v>1.3588787626844279</v>
          </cell>
          <cell r="AG56">
            <v>1.3707201485706999</v>
          </cell>
          <cell r="AH56">
            <v>1.3852169338285834</v>
          </cell>
          <cell r="AI56">
            <v>1.399796244562665</v>
          </cell>
          <cell r="AJ56">
            <v>1.4143860535694039</v>
          </cell>
          <cell r="AK56">
            <v>1.4343148543258701</v>
          </cell>
          <cell r="AL56">
            <v>1.4517327641736244</v>
          </cell>
          <cell r="AM56">
            <v>1.4666019914772839</v>
          </cell>
          <cell r="AN56">
            <v>1.4842144897298675</v>
          </cell>
          <cell r="AO56">
            <v>1.5019388211688123</v>
          </cell>
          <cell r="AP56">
            <v>1.5223585878560546</v>
          </cell>
          <cell r="AQ56">
            <v>1.5481960946221853</v>
          </cell>
          <cell r="AR56">
            <v>1.5716302689600372</v>
          </cell>
          <cell r="AS56">
            <v>1.597838951884857</v>
          </cell>
          <cell r="AT56">
            <v>1.6112657606025871</v>
          </cell>
          <cell r="AU56">
            <v>1.6265509228813189</v>
          </cell>
          <cell r="AV56">
            <v>1.6375942332031035</v>
          </cell>
          <cell r="AW56">
            <v>1.6531665432685401</v>
          </cell>
          <cell r="AX56">
            <v>1.668904448562456</v>
          </cell>
          <cell r="AY56">
            <v>1.6892682437627446</v>
          </cell>
          <cell r="AZ56">
            <v>1.7188129448099905</v>
          </cell>
          <cell r="BA56">
            <v>1.76219375140481</v>
          </cell>
          <cell r="BB56">
            <v>1.8241748318056623</v>
          </cell>
          <cell r="BC56">
            <v>1.914179442982854</v>
          </cell>
          <cell r="BD56">
            <v>2.0282126660741553</v>
          </cell>
          <cell r="BE56">
            <v>2.1805604865032011</v>
          </cell>
          <cell r="BF56">
            <v>2.3629391646802778</v>
          </cell>
          <cell r="BG56">
            <v>2.5947548883328704</v>
          </cell>
          <cell r="BH56">
            <v>2.8682025930416941</v>
          </cell>
          <cell r="BI56">
            <v>3.1895529223867629</v>
          </cell>
          <cell r="BJ56">
            <v>3.5513885929398392</v>
          </cell>
          <cell r="BK56">
            <v>3.9462997467870622</v>
          </cell>
          <cell r="BL56">
            <v>4.3571618133127457</v>
          </cell>
          <cell r="BM56">
            <v>4.7759009695713157</v>
          </cell>
          <cell r="BN56">
            <v>5.2039103386985293</v>
          </cell>
          <cell r="BO56">
            <v>5.5976588879717868</v>
          </cell>
          <cell r="BP56">
            <v>5.9815075529850468</v>
          </cell>
          <cell r="BQ56">
            <v>6.3452822414503514</v>
          </cell>
          <cell r="BR56">
            <v>6.7039983253087714</v>
          </cell>
          <cell r="BS56">
            <v>7.2227914465542717</v>
          </cell>
          <cell r="BT56">
            <v>7.6591592812423785</v>
          </cell>
          <cell r="BU56">
            <v>8.1623630510769409</v>
          </cell>
          <cell r="BV56">
            <v>8.7893489789010495</v>
          </cell>
          <cell r="BW56">
            <v>9.5521010584604724</v>
          </cell>
          <cell r="BX56">
            <v>10.577633328408922</v>
          </cell>
          <cell r="BY56">
            <v>11.878603945371776</v>
          </cell>
          <cell r="BZ56">
            <v>13.51203415541967</v>
          </cell>
        </row>
        <row r="57">
          <cell r="B57" t="str">
            <v>RENTA MENSUAL POR MUERTE ACCIDENTAL</v>
          </cell>
          <cell r="C57">
            <v>0.46200000000000008</v>
          </cell>
          <cell r="D57">
            <v>0.46200000000000008</v>
          </cell>
          <cell r="E57">
            <v>0.46200000000000008</v>
          </cell>
          <cell r="F57">
            <v>0.46200000000000008</v>
          </cell>
          <cell r="G57">
            <v>0.46200000000000008</v>
          </cell>
          <cell r="H57">
            <v>0.46200000000000008</v>
          </cell>
          <cell r="I57">
            <v>0.46200000000000008</v>
          </cell>
          <cell r="J57">
            <v>0.46200000000000008</v>
          </cell>
          <cell r="K57">
            <v>0.46200000000000008</v>
          </cell>
          <cell r="L57">
            <v>0.46200000000000008</v>
          </cell>
          <cell r="M57">
            <v>0.46200000000000008</v>
          </cell>
          <cell r="N57">
            <v>0.46200000000000008</v>
          </cell>
          <cell r="O57">
            <v>0.46200000000000008</v>
          </cell>
          <cell r="P57">
            <v>0.46200000000000008</v>
          </cell>
          <cell r="Q57">
            <v>0.46200000000000008</v>
          </cell>
          <cell r="R57">
            <v>0.46200000000000008</v>
          </cell>
          <cell r="S57">
            <v>0.46200000000000008</v>
          </cell>
          <cell r="T57">
            <v>0.46200000000000008</v>
          </cell>
          <cell r="U57">
            <v>0.46200000000000008</v>
          </cell>
          <cell r="V57">
            <v>0.46200000000000008</v>
          </cell>
          <cell r="W57">
            <v>0.46200000000000008</v>
          </cell>
          <cell r="X57">
            <v>0.46200000000000008</v>
          </cell>
          <cell r="Y57">
            <v>0.46200000000000008</v>
          </cell>
          <cell r="Z57">
            <v>0.46200000000000008</v>
          </cell>
          <cell r="AA57">
            <v>0.46200000000000008</v>
          </cell>
          <cell r="AB57">
            <v>0.46200000000000008</v>
          </cell>
          <cell r="AC57">
            <v>0.46200000000000008</v>
          </cell>
          <cell r="AD57">
            <v>0.46200000000000008</v>
          </cell>
          <cell r="AE57">
            <v>0.46200000000000008</v>
          </cell>
          <cell r="AF57">
            <v>0.46200000000000008</v>
          </cell>
          <cell r="AG57">
            <v>0.46200000000000008</v>
          </cell>
          <cell r="AH57">
            <v>0.46200000000000008</v>
          </cell>
          <cell r="AI57">
            <v>0.46200000000000008</v>
          </cell>
          <cell r="AJ57">
            <v>0.46200000000000008</v>
          </cell>
          <cell r="AK57">
            <v>0.46200000000000008</v>
          </cell>
          <cell r="AL57">
            <v>0.46200000000000008</v>
          </cell>
          <cell r="AM57">
            <v>0.46200000000000008</v>
          </cell>
          <cell r="AN57">
            <v>0.46200000000000008</v>
          </cell>
          <cell r="AO57">
            <v>0.46200000000000008</v>
          </cell>
          <cell r="AP57">
            <v>0.46200000000000008</v>
          </cell>
          <cell r="AQ57">
            <v>0.46200000000000008</v>
          </cell>
          <cell r="AR57">
            <v>0.46200000000000008</v>
          </cell>
          <cell r="AS57">
            <v>0.46200000000000008</v>
          </cell>
          <cell r="AT57">
            <v>0.46200000000000008</v>
          </cell>
          <cell r="AU57">
            <v>0.46200000000000008</v>
          </cell>
          <cell r="AV57">
            <v>0.46200000000000008</v>
          </cell>
          <cell r="AW57">
            <v>0.46200000000000008</v>
          </cell>
          <cell r="AX57">
            <v>0.46200000000000008</v>
          </cell>
          <cell r="AY57">
            <v>0.46200000000000008</v>
          </cell>
          <cell r="AZ57">
            <v>0.46200000000000008</v>
          </cell>
          <cell r="BA57">
            <v>0.46200000000000008</v>
          </cell>
          <cell r="BB57">
            <v>0.46200000000000008</v>
          </cell>
          <cell r="BC57">
            <v>0.46200000000000008</v>
          </cell>
          <cell r="BD57">
            <v>0.46200000000000008</v>
          </cell>
          <cell r="BE57">
            <v>0.46200000000000008</v>
          </cell>
          <cell r="BF57">
            <v>0.46200000000000008</v>
          </cell>
          <cell r="BG57">
            <v>0.46200000000000008</v>
          </cell>
          <cell r="BH57">
            <v>0.46200000000000008</v>
          </cell>
          <cell r="BI57">
            <v>0.46200000000000008</v>
          </cell>
          <cell r="BJ57">
            <v>0.46200000000000008</v>
          </cell>
          <cell r="BK57">
            <v>0.46200000000000008</v>
          </cell>
          <cell r="BL57">
            <v>0.46200000000000008</v>
          </cell>
          <cell r="BM57">
            <v>0.46200000000000008</v>
          </cell>
          <cell r="BN57">
            <v>0.46200000000000008</v>
          </cell>
          <cell r="BO57">
            <v>0.46200000000000008</v>
          </cell>
          <cell r="BP57">
            <v>0.46200000000000008</v>
          </cell>
          <cell r="BQ57">
            <v>0.46200000000000008</v>
          </cell>
          <cell r="BR57">
            <v>0.46200000000000008</v>
          </cell>
          <cell r="BS57">
            <v>0.46200000000000008</v>
          </cell>
          <cell r="BT57">
            <v>0.46200000000000008</v>
          </cell>
          <cell r="BU57">
            <v>0.46200000000000008</v>
          </cell>
          <cell r="BV57">
            <v>0</v>
          </cell>
          <cell r="BW57">
            <v>0</v>
          </cell>
          <cell r="BX57">
            <v>0</v>
          </cell>
          <cell r="BY57">
            <v>0</v>
          </cell>
          <cell r="BZ57">
            <v>0</v>
          </cell>
        </row>
        <row r="58">
          <cell r="B58" t="str">
            <v>RENTA MENSUAL POR MUERTE POR CUALQUIER CAUSA</v>
          </cell>
          <cell r="C58">
            <v>1.2149999999999916</v>
          </cell>
          <cell r="D58">
            <v>1.2149999999999916</v>
          </cell>
          <cell r="E58">
            <v>1.2149999999999916</v>
          </cell>
          <cell r="F58">
            <v>1.2149999999999916</v>
          </cell>
          <cell r="G58">
            <v>1.2149999999999916</v>
          </cell>
          <cell r="H58">
            <v>1.2149999999999916</v>
          </cell>
          <cell r="I58">
            <v>1.2149999999999916</v>
          </cell>
          <cell r="J58">
            <v>1.2149999999999916</v>
          </cell>
          <cell r="K58">
            <v>1.2149999999999916</v>
          </cell>
          <cell r="L58">
            <v>1.2149999999999916</v>
          </cell>
          <cell r="M58">
            <v>1.2149999999999916</v>
          </cell>
          <cell r="N58">
            <v>1.2149999999999916</v>
          </cell>
          <cell r="O58">
            <v>1.2149999999999916</v>
          </cell>
          <cell r="P58">
            <v>1.2149999999999916</v>
          </cell>
          <cell r="Q58">
            <v>1.2149999999999916</v>
          </cell>
          <cell r="R58">
            <v>1.2149999999999916</v>
          </cell>
          <cell r="S58">
            <v>1.2149999999999916</v>
          </cell>
          <cell r="T58">
            <v>1.2149999999999916</v>
          </cell>
          <cell r="U58">
            <v>1.2149999999999916</v>
          </cell>
          <cell r="V58">
            <v>1.2150000000000067</v>
          </cell>
          <cell r="W58">
            <v>1.2149999999999999</v>
          </cell>
          <cell r="X58">
            <v>1.2336336502838461</v>
          </cell>
          <cell r="Y58">
            <v>1.2549034008330024</v>
          </cell>
          <cell r="Z58">
            <v>1.2738115741835121</v>
          </cell>
          <cell r="AA58">
            <v>1.2928382088962076</v>
          </cell>
          <cell r="AB58">
            <v>1.3043825741274109</v>
          </cell>
          <cell r="AC58">
            <v>1.3210645434186523</v>
          </cell>
          <cell r="AD58">
            <v>1.3327592457605</v>
          </cell>
          <cell r="AE58">
            <v>1.3470467781465878</v>
          </cell>
          <cell r="AF58">
            <v>1.3588787626844279</v>
          </cell>
          <cell r="AG58">
            <v>1.3707201485706999</v>
          </cell>
          <cell r="AH58">
            <v>1.3852169338285834</v>
          </cell>
          <cell r="AI58">
            <v>1.399796244562665</v>
          </cell>
          <cell r="AJ58">
            <v>1.4143860535694039</v>
          </cell>
          <cell r="AK58">
            <v>1.4343148543258701</v>
          </cell>
          <cell r="AL58">
            <v>1.4517327641736244</v>
          </cell>
          <cell r="AM58">
            <v>1.4666019914772839</v>
          </cell>
          <cell r="AN58">
            <v>1.4842144897298675</v>
          </cell>
          <cell r="AO58">
            <v>1.5019388211688123</v>
          </cell>
          <cell r="AP58">
            <v>1.5223585878560546</v>
          </cell>
          <cell r="AQ58">
            <v>1.5481960946221853</v>
          </cell>
          <cell r="AR58">
            <v>1.5716302689600372</v>
          </cell>
          <cell r="AS58">
            <v>1.597838951884857</v>
          </cell>
          <cell r="AT58">
            <v>1.6112657606025871</v>
          </cell>
          <cell r="AU58">
            <v>1.6265509228813189</v>
          </cell>
          <cell r="AV58">
            <v>1.6375942332031035</v>
          </cell>
          <cell r="AW58">
            <v>1.6531665432685401</v>
          </cell>
          <cell r="AX58">
            <v>1.668904448562456</v>
          </cell>
          <cell r="AY58">
            <v>1.6892682437627446</v>
          </cell>
          <cell r="AZ58">
            <v>1.7188129448099905</v>
          </cell>
          <cell r="BA58">
            <v>1.76219375140481</v>
          </cell>
          <cell r="BB58">
            <v>1.8241748318056623</v>
          </cell>
          <cell r="BC58">
            <v>1.914179442982854</v>
          </cell>
          <cell r="BD58">
            <v>2.0282126660741553</v>
          </cell>
          <cell r="BE58">
            <v>2.1805604865032011</v>
          </cell>
          <cell r="BF58">
            <v>2.3629391646802778</v>
          </cell>
          <cell r="BG58">
            <v>2.5947548883328704</v>
          </cell>
          <cell r="BH58">
            <v>2.8682025930416941</v>
          </cell>
          <cell r="BI58">
            <v>3.1895529223867629</v>
          </cell>
          <cell r="BJ58">
            <v>3.5513885929398392</v>
          </cell>
          <cell r="BK58">
            <v>3.9462997467870622</v>
          </cell>
          <cell r="BL58">
            <v>4.3571618133127457</v>
          </cell>
          <cell r="BM58">
            <v>4.7759009695713157</v>
          </cell>
          <cell r="BN58">
            <v>5.2039103386985293</v>
          </cell>
          <cell r="BO58">
            <v>5.5976588879717868</v>
          </cell>
          <cell r="BP58">
            <v>5.9815075529850468</v>
          </cell>
          <cell r="BQ58">
            <v>6.3452822414503514</v>
          </cell>
          <cell r="BR58">
            <v>6.7039983253087714</v>
          </cell>
          <cell r="BS58">
            <v>7.2227914465542717</v>
          </cell>
          <cell r="BT58">
            <v>7.6591592812423785</v>
          </cell>
          <cell r="BU58">
            <v>8.1623630510769409</v>
          </cell>
          <cell r="BV58">
            <v>8.7893489789010495</v>
          </cell>
          <cell r="BW58">
            <v>9.5521010584604724</v>
          </cell>
          <cell r="BX58">
            <v>10.577633328408922</v>
          </cell>
          <cell r="BY58">
            <v>11.878603945371776</v>
          </cell>
          <cell r="BZ58">
            <v>13.51203415541967</v>
          </cell>
        </row>
        <row r="59">
          <cell r="B59" t="str">
            <v>RENTA PARA CANASTA FAMILIAR POR MUERTE ACCIDENTAL</v>
          </cell>
          <cell r="C59">
            <v>0.46200000000000008</v>
          </cell>
          <cell r="D59">
            <v>0.46200000000000008</v>
          </cell>
          <cell r="E59">
            <v>0.46200000000000008</v>
          </cell>
          <cell r="F59">
            <v>0.46200000000000008</v>
          </cell>
          <cell r="G59">
            <v>0.46200000000000008</v>
          </cell>
          <cell r="H59">
            <v>0.46200000000000008</v>
          </cell>
          <cell r="I59">
            <v>0.46200000000000008</v>
          </cell>
          <cell r="J59">
            <v>0.46200000000000008</v>
          </cell>
          <cell r="K59">
            <v>0.46200000000000008</v>
          </cell>
          <cell r="L59">
            <v>0.46200000000000008</v>
          </cell>
          <cell r="M59">
            <v>0.46200000000000008</v>
          </cell>
          <cell r="N59">
            <v>0.46200000000000008</v>
          </cell>
          <cell r="O59">
            <v>0.46200000000000008</v>
          </cell>
          <cell r="P59">
            <v>0.46200000000000008</v>
          </cell>
          <cell r="Q59">
            <v>0.46200000000000008</v>
          </cell>
          <cell r="R59">
            <v>0.46200000000000008</v>
          </cell>
          <cell r="S59">
            <v>0.46200000000000008</v>
          </cell>
          <cell r="T59">
            <v>0.46200000000000008</v>
          </cell>
          <cell r="U59">
            <v>0.46200000000000008</v>
          </cell>
          <cell r="V59">
            <v>0.46200000000000008</v>
          </cell>
          <cell r="W59">
            <v>0.46200000000000008</v>
          </cell>
          <cell r="X59">
            <v>0.46200000000000008</v>
          </cell>
          <cell r="Y59">
            <v>0.46200000000000008</v>
          </cell>
          <cell r="Z59">
            <v>0.46200000000000008</v>
          </cell>
          <cell r="AA59">
            <v>0.46200000000000008</v>
          </cell>
          <cell r="AB59">
            <v>0.46200000000000008</v>
          </cell>
          <cell r="AC59">
            <v>0.46200000000000008</v>
          </cell>
          <cell r="AD59">
            <v>0.46200000000000008</v>
          </cell>
          <cell r="AE59">
            <v>0.46200000000000008</v>
          </cell>
          <cell r="AF59">
            <v>0.46200000000000008</v>
          </cell>
          <cell r="AG59">
            <v>0.46200000000000008</v>
          </cell>
          <cell r="AH59">
            <v>0.46200000000000008</v>
          </cell>
          <cell r="AI59">
            <v>0.46200000000000008</v>
          </cell>
          <cell r="AJ59">
            <v>0.46200000000000008</v>
          </cell>
          <cell r="AK59">
            <v>0.46200000000000008</v>
          </cell>
          <cell r="AL59">
            <v>0.46200000000000008</v>
          </cell>
          <cell r="AM59">
            <v>0.46200000000000008</v>
          </cell>
          <cell r="AN59">
            <v>0.46200000000000008</v>
          </cell>
          <cell r="AO59">
            <v>0.46200000000000008</v>
          </cell>
          <cell r="AP59">
            <v>0.46200000000000008</v>
          </cell>
          <cell r="AQ59">
            <v>0.46200000000000008</v>
          </cell>
          <cell r="AR59">
            <v>0.46200000000000008</v>
          </cell>
          <cell r="AS59">
            <v>0.46200000000000008</v>
          </cell>
          <cell r="AT59">
            <v>0.46200000000000008</v>
          </cell>
          <cell r="AU59">
            <v>0.46200000000000008</v>
          </cell>
          <cell r="AV59">
            <v>0.46200000000000008</v>
          </cell>
          <cell r="AW59">
            <v>0.46200000000000008</v>
          </cell>
          <cell r="AX59">
            <v>0.46200000000000008</v>
          </cell>
          <cell r="AY59">
            <v>0.46200000000000008</v>
          </cell>
          <cell r="AZ59">
            <v>0.46200000000000008</v>
          </cell>
          <cell r="BA59">
            <v>0.46200000000000008</v>
          </cell>
          <cell r="BB59">
            <v>0.46200000000000008</v>
          </cell>
          <cell r="BC59">
            <v>0.46200000000000008</v>
          </cell>
          <cell r="BD59">
            <v>0.46200000000000008</v>
          </cell>
          <cell r="BE59">
            <v>0.46200000000000008</v>
          </cell>
          <cell r="BF59">
            <v>0.46200000000000008</v>
          </cell>
          <cell r="BG59">
            <v>0.46200000000000008</v>
          </cell>
          <cell r="BH59">
            <v>0.46200000000000008</v>
          </cell>
          <cell r="BI59">
            <v>0.46200000000000008</v>
          </cell>
          <cell r="BJ59">
            <v>0.46200000000000008</v>
          </cell>
          <cell r="BK59">
            <v>0.46200000000000008</v>
          </cell>
          <cell r="BL59">
            <v>0.46200000000000008</v>
          </cell>
          <cell r="BM59">
            <v>0.46200000000000008</v>
          </cell>
          <cell r="BN59">
            <v>0.46200000000000008</v>
          </cell>
          <cell r="BO59">
            <v>0.46200000000000008</v>
          </cell>
          <cell r="BP59">
            <v>0.46200000000000008</v>
          </cell>
          <cell r="BQ59">
            <v>0.46200000000000008</v>
          </cell>
          <cell r="BR59">
            <v>0.46200000000000008</v>
          </cell>
          <cell r="BS59">
            <v>0.46200000000000008</v>
          </cell>
          <cell r="BT59">
            <v>0.46200000000000008</v>
          </cell>
          <cell r="BU59">
            <v>0.46200000000000008</v>
          </cell>
          <cell r="BV59">
            <v>0</v>
          </cell>
          <cell r="BW59">
            <v>0</v>
          </cell>
          <cell r="BX59">
            <v>0</v>
          </cell>
          <cell r="BY59">
            <v>0</v>
          </cell>
          <cell r="BZ59">
            <v>0</v>
          </cell>
        </row>
        <row r="60">
          <cell r="B60" t="str">
            <v>RENTA PARA CANASTA FAMILIAR POR MUERTE POR CUALQUIER CAUSA</v>
          </cell>
          <cell r="C60">
            <v>1.2149999999999916</v>
          </cell>
          <cell r="D60">
            <v>1.2149999999999916</v>
          </cell>
          <cell r="E60">
            <v>1.2149999999999916</v>
          </cell>
          <cell r="F60">
            <v>1.2149999999999916</v>
          </cell>
          <cell r="G60">
            <v>1.2149999999999916</v>
          </cell>
          <cell r="H60">
            <v>1.2149999999999916</v>
          </cell>
          <cell r="I60">
            <v>1.2149999999999916</v>
          </cell>
          <cell r="J60">
            <v>1.2149999999999916</v>
          </cell>
          <cell r="K60">
            <v>1.2149999999999916</v>
          </cell>
          <cell r="L60">
            <v>1.2149999999999916</v>
          </cell>
          <cell r="M60">
            <v>1.2149999999999916</v>
          </cell>
          <cell r="N60">
            <v>1.2149999999999916</v>
          </cell>
          <cell r="O60">
            <v>1.2149999999999916</v>
          </cell>
          <cell r="P60">
            <v>1.2149999999999916</v>
          </cell>
          <cell r="Q60">
            <v>1.2149999999999916</v>
          </cell>
          <cell r="R60">
            <v>1.2149999999999916</v>
          </cell>
          <cell r="S60">
            <v>1.2149999999999916</v>
          </cell>
          <cell r="T60">
            <v>1.2149999999999916</v>
          </cell>
          <cell r="U60">
            <v>1.2149999999999916</v>
          </cell>
          <cell r="V60">
            <v>1.2150000000000067</v>
          </cell>
          <cell r="W60">
            <v>1.2149999999999999</v>
          </cell>
          <cell r="X60">
            <v>1.2336336502838461</v>
          </cell>
          <cell r="Y60">
            <v>1.2549034008330024</v>
          </cell>
          <cell r="Z60">
            <v>1.2738115741835121</v>
          </cell>
          <cell r="AA60">
            <v>1.2928382088962076</v>
          </cell>
          <cell r="AB60">
            <v>1.3043825741274109</v>
          </cell>
          <cell r="AC60">
            <v>1.3210645434186523</v>
          </cell>
          <cell r="AD60">
            <v>1.3327592457605</v>
          </cell>
          <cell r="AE60">
            <v>1.3470467781465878</v>
          </cell>
          <cell r="AF60">
            <v>1.3588787626844279</v>
          </cell>
          <cell r="AG60">
            <v>1.3707201485706999</v>
          </cell>
          <cell r="AH60">
            <v>1.3852169338285834</v>
          </cell>
          <cell r="AI60">
            <v>1.399796244562665</v>
          </cell>
          <cell r="AJ60">
            <v>1.4143860535694039</v>
          </cell>
          <cell r="AK60">
            <v>1.4343148543258701</v>
          </cell>
          <cell r="AL60">
            <v>1.4517327641736244</v>
          </cell>
          <cell r="AM60">
            <v>1.4666019914772839</v>
          </cell>
          <cell r="AN60">
            <v>1.4842144897298675</v>
          </cell>
          <cell r="AO60">
            <v>1.5019388211688123</v>
          </cell>
          <cell r="AP60">
            <v>1.5223585878560546</v>
          </cell>
          <cell r="AQ60">
            <v>1.5481960946221853</v>
          </cell>
          <cell r="AR60">
            <v>1.5716302689600372</v>
          </cell>
          <cell r="AS60">
            <v>1.597838951884857</v>
          </cell>
          <cell r="AT60">
            <v>1.6112657606025871</v>
          </cell>
          <cell r="AU60">
            <v>1.6265509228813189</v>
          </cell>
          <cell r="AV60">
            <v>1.6375942332031035</v>
          </cell>
          <cell r="AW60">
            <v>1.6531665432685401</v>
          </cell>
          <cell r="AX60">
            <v>1.668904448562456</v>
          </cell>
          <cell r="AY60">
            <v>1.6892682437627446</v>
          </cell>
          <cell r="AZ60">
            <v>1.7188129448099905</v>
          </cell>
          <cell r="BA60">
            <v>1.76219375140481</v>
          </cell>
          <cell r="BB60">
            <v>1.8241748318056623</v>
          </cell>
          <cell r="BC60">
            <v>1.914179442982854</v>
          </cell>
          <cell r="BD60">
            <v>2.0282126660741553</v>
          </cell>
          <cell r="BE60">
            <v>2.1805604865032011</v>
          </cell>
          <cell r="BF60">
            <v>2.3629391646802778</v>
          </cell>
          <cell r="BG60">
            <v>2.5947548883328704</v>
          </cell>
          <cell r="BH60">
            <v>2.8682025930416941</v>
          </cell>
          <cell r="BI60">
            <v>3.1895529223867629</v>
          </cell>
          <cell r="BJ60">
            <v>3.5513885929398392</v>
          </cell>
          <cell r="BK60">
            <v>3.9462997467870622</v>
          </cell>
          <cell r="BL60">
            <v>4.3571618133127457</v>
          </cell>
          <cell r="BM60">
            <v>4.7759009695713157</v>
          </cell>
          <cell r="BN60">
            <v>5.2039103386985293</v>
          </cell>
          <cell r="BO60">
            <v>5.5976588879717868</v>
          </cell>
          <cell r="BP60">
            <v>5.9815075529850468</v>
          </cell>
          <cell r="BQ60">
            <v>6.3452822414503514</v>
          </cell>
          <cell r="BR60">
            <v>6.7039983253087714</v>
          </cell>
          <cell r="BS60">
            <v>7.2227914465542717</v>
          </cell>
          <cell r="BT60">
            <v>7.6591592812423785</v>
          </cell>
          <cell r="BU60">
            <v>8.1623630510769409</v>
          </cell>
          <cell r="BV60">
            <v>8.7893489789010495</v>
          </cell>
          <cell r="BW60">
            <v>9.5521010584604724</v>
          </cell>
          <cell r="BX60">
            <v>10.577633328408922</v>
          </cell>
          <cell r="BY60">
            <v>11.878603945371776</v>
          </cell>
          <cell r="BZ60">
            <v>13.51203415541967</v>
          </cell>
        </row>
        <row r="61">
          <cell r="B61" t="str">
            <v>INCAPACIDAD TOTAL TEMPORAL</v>
          </cell>
          <cell r="C61">
            <v>1539</v>
          </cell>
          <cell r="D61">
            <v>1539</v>
          </cell>
          <cell r="E61">
            <v>1539</v>
          </cell>
          <cell r="F61">
            <v>1539</v>
          </cell>
          <cell r="G61">
            <v>1539</v>
          </cell>
          <cell r="H61">
            <v>1539</v>
          </cell>
          <cell r="I61">
            <v>1539</v>
          </cell>
          <cell r="J61">
            <v>1539</v>
          </cell>
          <cell r="K61">
            <v>1539</v>
          </cell>
          <cell r="L61">
            <v>1539</v>
          </cell>
          <cell r="M61">
            <v>1539</v>
          </cell>
          <cell r="N61">
            <v>1539</v>
          </cell>
          <cell r="O61">
            <v>1539</v>
          </cell>
          <cell r="P61">
            <v>1539</v>
          </cell>
          <cell r="Q61">
            <v>1539</v>
          </cell>
          <cell r="R61">
            <v>1539</v>
          </cell>
          <cell r="S61">
            <v>1539</v>
          </cell>
          <cell r="T61">
            <v>1539</v>
          </cell>
          <cell r="U61">
            <v>1539</v>
          </cell>
          <cell r="V61">
            <v>1539</v>
          </cell>
          <cell r="W61">
            <v>1539</v>
          </cell>
          <cell r="X61">
            <v>1539</v>
          </cell>
          <cell r="Y61">
            <v>1539</v>
          </cell>
          <cell r="Z61">
            <v>1539</v>
          </cell>
          <cell r="AA61">
            <v>1539</v>
          </cell>
          <cell r="AB61">
            <v>1539</v>
          </cell>
          <cell r="AC61">
            <v>1539</v>
          </cell>
          <cell r="AD61">
            <v>1539</v>
          </cell>
          <cell r="AE61">
            <v>1539</v>
          </cell>
          <cell r="AF61">
            <v>1539</v>
          </cell>
          <cell r="AG61">
            <v>1539</v>
          </cell>
          <cell r="AH61">
            <v>1539</v>
          </cell>
          <cell r="AI61">
            <v>1539</v>
          </cell>
          <cell r="AJ61">
            <v>1539</v>
          </cell>
          <cell r="AK61">
            <v>1539</v>
          </cell>
          <cell r="AL61">
            <v>1539</v>
          </cell>
          <cell r="AM61">
            <v>1539</v>
          </cell>
          <cell r="AN61">
            <v>1539</v>
          </cell>
          <cell r="AO61">
            <v>1539</v>
          </cell>
          <cell r="AP61">
            <v>1539</v>
          </cell>
          <cell r="AQ61">
            <v>1539</v>
          </cell>
          <cell r="AR61">
            <v>1539</v>
          </cell>
          <cell r="AS61">
            <v>1539</v>
          </cell>
          <cell r="AT61">
            <v>1539</v>
          </cell>
          <cell r="AU61">
            <v>1539</v>
          </cell>
          <cell r="AV61">
            <v>1539</v>
          </cell>
          <cell r="AW61">
            <v>1539</v>
          </cell>
          <cell r="AX61">
            <v>1539</v>
          </cell>
          <cell r="AY61">
            <v>1539</v>
          </cell>
          <cell r="AZ61">
            <v>1539</v>
          </cell>
          <cell r="BA61">
            <v>1539</v>
          </cell>
          <cell r="BB61">
            <v>1539</v>
          </cell>
          <cell r="BC61">
            <v>1539</v>
          </cell>
          <cell r="BD61">
            <v>1539</v>
          </cell>
          <cell r="BE61">
            <v>1539</v>
          </cell>
          <cell r="BF61">
            <v>1539</v>
          </cell>
          <cell r="BG61">
            <v>1539</v>
          </cell>
          <cell r="BH61">
            <v>1539</v>
          </cell>
          <cell r="BI61">
            <v>1539</v>
          </cell>
          <cell r="BJ61">
            <v>1539</v>
          </cell>
          <cell r="BK61">
            <v>1539</v>
          </cell>
          <cell r="BL61">
            <v>1539</v>
          </cell>
          <cell r="BM61">
            <v>1539</v>
          </cell>
          <cell r="BN61">
            <v>1539</v>
          </cell>
          <cell r="BO61">
            <v>1539</v>
          </cell>
          <cell r="BP61">
            <v>1539</v>
          </cell>
          <cell r="BQ61">
            <v>1539</v>
          </cell>
          <cell r="BR61">
            <v>1539</v>
          </cell>
          <cell r="BS61">
            <v>1539</v>
          </cell>
          <cell r="BT61">
            <v>1539</v>
          </cell>
          <cell r="BU61">
            <v>1539</v>
          </cell>
          <cell r="BV61">
            <v>1539</v>
          </cell>
          <cell r="BW61">
            <v>1539</v>
          </cell>
          <cell r="BX61">
            <v>1539</v>
          </cell>
          <cell r="BY61">
            <v>1539</v>
          </cell>
          <cell r="BZ61">
            <v>1539</v>
          </cell>
        </row>
        <row r="62">
          <cell r="B62" t="str">
            <v xml:space="preserve">RENTA CLÍNICA DIARIA POR ACCIDENTE  </v>
          </cell>
          <cell r="C62">
            <v>291.60000000000002</v>
          </cell>
          <cell r="D62">
            <v>291.60000000000002</v>
          </cell>
          <cell r="E62">
            <v>291.60000000000002</v>
          </cell>
          <cell r="F62">
            <v>291.60000000000002</v>
          </cell>
          <cell r="G62">
            <v>291.60000000000002</v>
          </cell>
          <cell r="H62">
            <v>291.60000000000002</v>
          </cell>
          <cell r="I62">
            <v>291.60000000000002</v>
          </cell>
          <cell r="J62">
            <v>291.60000000000002</v>
          </cell>
          <cell r="K62">
            <v>291.60000000000002</v>
          </cell>
          <cell r="L62">
            <v>291.60000000000002</v>
          </cell>
          <cell r="M62">
            <v>291.60000000000002</v>
          </cell>
          <cell r="N62">
            <v>291.60000000000002</v>
          </cell>
          <cell r="O62">
            <v>291.60000000000002</v>
          </cell>
          <cell r="P62">
            <v>291.60000000000002</v>
          </cell>
          <cell r="Q62">
            <v>291.60000000000002</v>
          </cell>
          <cell r="R62">
            <v>291.60000000000002</v>
          </cell>
          <cell r="S62">
            <v>291.60000000000002</v>
          </cell>
          <cell r="T62">
            <v>291.60000000000002</v>
          </cell>
          <cell r="U62">
            <v>291.60000000000002</v>
          </cell>
          <cell r="V62">
            <v>291.60000000000002</v>
          </cell>
          <cell r="W62">
            <v>291.60000000000002</v>
          </cell>
          <cell r="X62">
            <v>291.60000000000002</v>
          </cell>
          <cell r="Y62">
            <v>291.60000000000002</v>
          </cell>
          <cell r="Z62">
            <v>291.60000000000002</v>
          </cell>
          <cell r="AA62">
            <v>291.60000000000002</v>
          </cell>
          <cell r="AB62">
            <v>291.60000000000002</v>
          </cell>
          <cell r="AC62">
            <v>291.60000000000002</v>
          </cell>
          <cell r="AD62">
            <v>291.60000000000002</v>
          </cell>
          <cell r="AE62">
            <v>291.60000000000002</v>
          </cell>
          <cell r="AF62">
            <v>291.60000000000002</v>
          </cell>
          <cell r="AG62">
            <v>291.60000000000002</v>
          </cell>
          <cell r="AH62">
            <v>291.60000000000002</v>
          </cell>
          <cell r="AI62">
            <v>291.60000000000002</v>
          </cell>
          <cell r="AJ62">
            <v>291.60000000000002</v>
          </cell>
          <cell r="AK62">
            <v>291.60000000000002</v>
          </cell>
          <cell r="AL62">
            <v>291.60000000000002</v>
          </cell>
          <cell r="AM62">
            <v>291.60000000000002</v>
          </cell>
          <cell r="AN62">
            <v>291.60000000000002</v>
          </cell>
          <cell r="AO62">
            <v>291.60000000000002</v>
          </cell>
          <cell r="AP62">
            <v>291.60000000000002</v>
          </cell>
          <cell r="AQ62">
            <v>291.60000000000002</v>
          </cell>
          <cell r="AR62">
            <v>291.60000000000002</v>
          </cell>
          <cell r="AS62">
            <v>291.60000000000002</v>
          </cell>
          <cell r="AT62">
            <v>291.60000000000002</v>
          </cell>
          <cell r="AU62">
            <v>291.60000000000002</v>
          </cell>
          <cell r="AV62">
            <v>291.60000000000002</v>
          </cell>
          <cell r="AW62">
            <v>291.60000000000002</v>
          </cell>
          <cell r="AX62">
            <v>291.60000000000002</v>
          </cell>
          <cell r="AY62">
            <v>291.60000000000002</v>
          </cell>
          <cell r="AZ62">
            <v>291.60000000000002</v>
          </cell>
          <cell r="BA62">
            <v>291.60000000000002</v>
          </cell>
          <cell r="BB62">
            <v>291.60000000000002</v>
          </cell>
          <cell r="BC62">
            <v>291.60000000000002</v>
          </cell>
          <cell r="BD62">
            <v>291.60000000000002</v>
          </cell>
          <cell r="BE62">
            <v>291.60000000000002</v>
          </cell>
          <cell r="BF62">
            <v>291.60000000000002</v>
          </cell>
          <cell r="BG62">
            <v>291.60000000000002</v>
          </cell>
          <cell r="BH62">
            <v>291.60000000000002</v>
          </cell>
          <cell r="BI62">
            <v>291.60000000000002</v>
          </cell>
          <cell r="BJ62">
            <v>291.60000000000002</v>
          </cell>
          <cell r="BK62">
            <v>291.60000000000002</v>
          </cell>
          <cell r="BL62">
            <v>291.60000000000002</v>
          </cell>
          <cell r="BM62">
            <v>291.60000000000002</v>
          </cell>
          <cell r="BN62">
            <v>291.60000000000002</v>
          </cell>
          <cell r="BO62">
            <v>291.60000000000002</v>
          </cell>
          <cell r="BP62">
            <v>291.60000000000002</v>
          </cell>
          <cell r="BQ62">
            <v>291.60000000000002</v>
          </cell>
          <cell r="BR62">
            <v>291.60000000000002</v>
          </cell>
          <cell r="BS62">
            <v>291.60000000000002</v>
          </cell>
          <cell r="BT62">
            <v>291.60000000000002</v>
          </cell>
          <cell r="BU62">
            <v>291.60000000000002</v>
          </cell>
          <cell r="BV62">
            <v>291.60000000000002</v>
          </cell>
          <cell r="BW62">
            <v>291.60000000000002</v>
          </cell>
          <cell r="BX62">
            <v>291.60000000000002</v>
          </cell>
          <cell r="BY62">
            <v>291.60000000000002</v>
          </cell>
          <cell r="BZ62">
            <v>291.60000000000002</v>
          </cell>
        </row>
        <row r="63">
          <cell r="B63" t="str">
            <v xml:space="preserve">RENTA CLÍNICA DIARIA POR ENFERMEDAD O ACCIDENTE  </v>
          </cell>
          <cell r="C63">
            <v>291.60000000000002</v>
          </cell>
          <cell r="D63">
            <v>291.60000000000002</v>
          </cell>
          <cell r="E63">
            <v>291.60000000000002</v>
          </cell>
          <cell r="F63">
            <v>291.60000000000002</v>
          </cell>
          <cell r="G63">
            <v>291.60000000000002</v>
          </cell>
          <cell r="H63">
            <v>291.60000000000002</v>
          </cell>
          <cell r="I63">
            <v>291.60000000000002</v>
          </cell>
          <cell r="J63">
            <v>291.60000000000002</v>
          </cell>
          <cell r="K63">
            <v>291.60000000000002</v>
          </cell>
          <cell r="L63">
            <v>291.60000000000002</v>
          </cell>
          <cell r="M63">
            <v>291.60000000000002</v>
          </cell>
          <cell r="N63">
            <v>291.60000000000002</v>
          </cell>
          <cell r="O63">
            <v>291.60000000000002</v>
          </cell>
          <cell r="P63">
            <v>291.60000000000002</v>
          </cell>
          <cell r="Q63">
            <v>291.60000000000002</v>
          </cell>
          <cell r="R63">
            <v>291.60000000000002</v>
          </cell>
          <cell r="S63">
            <v>291.60000000000002</v>
          </cell>
          <cell r="T63">
            <v>291.60000000000002</v>
          </cell>
          <cell r="U63">
            <v>291.60000000000002</v>
          </cell>
          <cell r="V63">
            <v>291.60000000000002</v>
          </cell>
          <cell r="W63">
            <v>291.60000000000002</v>
          </cell>
          <cell r="X63">
            <v>291.60000000000002</v>
          </cell>
          <cell r="Y63">
            <v>291.60000000000002</v>
          </cell>
          <cell r="Z63">
            <v>291.60000000000002</v>
          </cell>
          <cell r="AA63">
            <v>291.60000000000002</v>
          </cell>
          <cell r="AB63">
            <v>291.60000000000002</v>
          </cell>
          <cell r="AC63">
            <v>291.60000000000002</v>
          </cell>
          <cell r="AD63">
            <v>291.60000000000002</v>
          </cell>
          <cell r="AE63">
            <v>291.60000000000002</v>
          </cell>
          <cell r="AF63">
            <v>291.60000000000002</v>
          </cell>
          <cell r="AG63">
            <v>291.60000000000002</v>
          </cell>
          <cell r="AH63">
            <v>291.60000000000002</v>
          </cell>
          <cell r="AI63">
            <v>291.60000000000002</v>
          </cell>
          <cell r="AJ63">
            <v>291.60000000000002</v>
          </cell>
          <cell r="AK63">
            <v>291.60000000000002</v>
          </cell>
          <cell r="AL63">
            <v>291.60000000000002</v>
          </cell>
          <cell r="AM63">
            <v>291.60000000000002</v>
          </cell>
          <cell r="AN63">
            <v>291.60000000000002</v>
          </cell>
          <cell r="AO63">
            <v>291.60000000000002</v>
          </cell>
          <cell r="AP63">
            <v>291.60000000000002</v>
          </cell>
          <cell r="AQ63">
            <v>291.60000000000002</v>
          </cell>
          <cell r="AR63">
            <v>291.60000000000002</v>
          </cell>
          <cell r="AS63">
            <v>291.60000000000002</v>
          </cell>
          <cell r="AT63">
            <v>291.60000000000002</v>
          </cell>
          <cell r="AU63">
            <v>291.60000000000002</v>
          </cell>
          <cell r="AV63">
            <v>291.60000000000002</v>
          </cell>
          <cell r="AW63">
            <v>291.60000000000002</v>
          </cell>
          <cell r="AX63">
            <v>291.60000000000002</v>
          </cell>
          <cell r="AY63">
            <v>291.60000000000002</v>
          </cell>
          <cell r="AZ63">
            <v>291.60000000000002</v>
          </cell>
          <cell r="BA63">
            <v>291.60000000000002</v>
          </cell>
          <cell r="BB63">
            <v>291.60000000000002</v>
          </cell>
          <cell r="BC63">
            <v>291.60000000000002</v>
          </cell>
          <cell r="BD63">
            <v>291.60000000000002</v>
          </cell>
          <cell r="BE63">
            <v>291.60000000000002</v>
          </cell>
          <cell r="BF63">
            <v>291.60000000000002</v>
          </cell>
          <cell r="BG63">
            <v>291.60000000000002</v>
          </cell>
          <cell r="BH63">
            <v>291.60000000000002</v>
          </cell>
          <cell r="BI63">
            <v>291.60000000000002</v>
          </cell>
          <cell r="BJ63">
            <v>291.60000000000002</v>
          </cell>
          <cell r="BK63">
            <v>291.60000000000002</v>
          </cell>
          <cell r="BL63">
            <v>291.60000000000002</v>
          </cell>
          <cell r="BM63">
            <v>291.60000000000002</v>
          </cell>
          <cell r="BN63">
            <v>291.60000000000002</v>
          </cell>
          <cell r="BO63">
            <v>291.60000000000002</v>
          </cell>
          <cell r="BP63">
            <v>291.60000000000002</v>
          </cell>
          <cell r="BQ63">
            <v>291.60000000000002</v>
          </cell>
          <cell r="BR63">
            <v>291.60000000000002</v>
          </cell>
          <cell r="BS63">
            <v>291.60000000000002</v>
          </cell>
          <cell r="BT63">
            <v>291.60000000000002</v>
          </cell>
          <cell r="BU63">
            <v>291.60000000000002</v>
          </cell>
          <cell r="BV63">
            <v>291.60000000000002</v>
          </cell>
          <cell r="BW63">
            <v>291.60000000000002</v>
          </cell>
          <cell r="BX63">
            <v>291.60000000000002</v>
          </cell>
          <cell r="BY63">
            <v>291.60000000000002</v>
          </cell>
          <cell r="BZ63">
            <v>291.60000000000002</v>
          </cell>
        </row>
        <row r="64">
          <cell r="B64" t="str">
            <v>RENTA CLÍNICA DIARIA EN UNIDAD DE CUIDADOS INTENSIVOS</v>
          </cell>
          <cell r="C64">
            <v>10.8</v>
          </cell>
          <cell r="D64">
            <v>10.8</v>
          </cell>
          <cell r="E64">
            <v>10.8</v>
          </cell>
          <cell r="F64">
            <v>10.8</v>
          </cell>
          <cell r="G64">
            <v>10.8</v>
          </cell>
          <cell r="H64">
            <v>10.8</v>
          </cell>
          <cell r="I64">
            <v>10.8</v>
          </cell>
          <cell r="J64">
            <v>10.8</v>
          </cell>
          <cell r="K64">
            <v>10.8</v>
          </cell>
          <cell r="L64">
            <v>10.8</v>
          </cell>
          <cell r="M64">
            <v>10.8</v>
          </cell>
          <cell r="N64">
            <v>10.8</v>
          </cell>
          <cell r="O64">
            <v>10.8</v>
          </cell>
          <cell r="P64">
            <v>10.8</v>
          </cell>
          <cell r="Q64">
            <v>10.8</v>
          </cell>
          <cell r="R64">
            <v>10.8</v>
          </cell>
          <cell r="S64">
            <v>10.8</v>
          </cell>
          <cell r="T64">
            <v>10.8</v>
          </cell>
          <cell r="U64">
            <v>10.8</v>
          </cell>
          <cell r="V64">
            <v>10.8</v>
          </cell>
          <cell r="W64">
            <v>10.8</v>
          </cell>
          <cell r="X64">
            <v>10.8</v>
          </cell>
          <cell r="Y64">
            <v>10.8</v>
          </cell>
          <cell r="Z64">
            <v>10.8</v>
          </cell>
          <cell r="AA64">
            <v>10.8</v>
          </cell>
          <cell r="AB64">
            <v>10.8</v>
          </cell>
          <cell r="AC64">
            <v>10.8</v>
          </cell>
          <cell r="AD64">
            <v>10.8</v>
          </cell>
          <cell r="AE64">
            <v>10.8</v>
          </cell>
          <cell r="AF64">
            <v>10.8</v>
          </cell>
          <cell r="AG64">
            <v>10.8</v>
          </cell>
          <cell r="AH64">
            <v>10.8</v>
          </cell>
          <cell r="AI64">
            <v>10.8</v>
          </cell>
          <cell r="AJ64">
            <v>10.8</v>
          </cell>
          <cell r="AK64">
            <v>10.8</v>
          </cell>
          <cell r="AL64">
            <v>10.8</v>
          </cell>
          <cell r="AM64">
            <v>10.8</v>
          </cell>
          <cell r="AN64">
            <v>10.8</v>
          </cell>
          <cell r="AO64">
            <v>10.8</v>
          </cell>
          <cell r="AP64">
            <v>10.8</v>
          </cell>
          <cell r="AQ64">
            <v>10.8</v>
          </cell>
          <cell r="AR64">
            <v>10.8</v>
          </cell>
          <cell r="AS64">
            <v>10.8</v>
          </cell>
          <cell r="AT64">
            <v>10.8</v>
          </cell>
          <cell r="AU64">
            <v>10.8</v>
          </cell>
          <cell r="AV64">
            <v>10.8</v>
          </cell>
          <cell r="AW64">
            <v>10.8</v>
          </cell>
          <cell r="AX64">
            <v>10.8</v>
          </cell>
          <cell r="AY64">
            <v>10.8</v>
          </cell>
          <cell r="AZ64">
            <v>10.8</v>
          </cell>
          <cell r="BA64">
            <v>10.8</v>
          </cell>
          <cell r="BB64">
            <v>10.8</v>
          </cell>
          <cell r="BC64">
            <v>10.8</v>
          </cell>
          <cell r="BD64">
            <v>10.8</v>
          </cell>
          <cell r="BE64">
            <v>10.8</v>
          </cell>
          <cell r="BF64">
            <v>10.8</v>
          </cell>
          <cell r="BG64">
            <v>10.8</v>
          </cell>
          <cell r="BH64">
            <v>10.8</v>
          </cell>
          <cell r="BI64">
            <v>10.8</v>
          </cell>
          <cell r="BJ64">
            <v>10.8</v>
          </cell>
          <cell r="BK64">
            <v>10.8</v>
          </cell>
          <cell r="BL64">
            <v>10.8</v>
          </cell>
          <cell r="BM64">
            <v>10.8</v>
          </cell>
          <cell r="BN64">
            <v>10.8</v>
          </cell>
          <cell r="BO64">
            <v>10.8</v>
          </cell>
          <cell r="BP64">
            <v>10.8</v>
          </cell>
          <cell r="BQ64">
            <v>10.8</v>
          </cell>
          <cell r="BR64">
            <v>10.8</v>
          </cell>
          <cell r="BS64">
            <v>10.8</v>
          </cell>
          <cell r="BT64">
            <v>10.8</v>
          </cell>
          <cell r="BU64">
            <v>10.8</v>
          </cell>
          <cell r="BV64">
            <v>10.8</v>
          </cell>
          <cell r="BW64">
            <v>10.8</v>
          </cell>
          <cell r="BX64">
            <v>10.8</v>
          </cell>
          <cell r="BY64">
            <v>10.8</v>
          </cell>
          <cell r="BZ64">
            <v>10.8</v>
          </cell>
        </row>
        <row r="65">
          <cell r="B65" t="str">
            <v>RENTA CLÍNICA DIARIA EN UNIDAD DE CUIDADOS INTENSIVOS POR ACCIDENTE</v>
          </cell>
          <cell r="C65">
            <v>10.8</v>
          </cell>
          <cell r="D65">
            <v>10.8</v>
          </cell>
          <cell r="E65">
            <v>10.8</v>
          </cell>
          <cell r="F65">
            <v>10.8</v>
          </cell>
          <cell r="G65">
            <v>10.8</v>
          </cell>
          <cell r="H65">
            <v>10.8</v>
          </cell>
          <cell r="I65">
            <v>10.8</v>
          </cell>
          <cell r="J65">
            <v>10.8</v>
          </cell>
          <cell r="K65">
            <v>10.8</v>
          </cell>
          <cell r="L65">
            <v>10.8</v>
          </cell>
          <cell r="M65">
            <v>10.8</v>
          </cell>
          <cell r="N65">
            <v>10.8</v>
          </cell>
          <cell r="O65">
            <v>10.8</v>
          </cell>
          <cell r="P65">
            <v>10.8</v>
          </cell>
          <cell r="Q65">
            <v>10.8</v>
          </cell>
          <cell r="R65">
            <v>10.8</v>
          </cell>
          <cell r="S65">
            <v>10.8</v>
          </cell>
          <cell r="T65">
            <v>10.8</v>
          </cell>
          <cell r="U65">
            <v>10.8</v>
          </cell>
          <cell r="V65">
            <v>10.8</v>
          </cell>
          <cell r="W65">
            <v>10.8</v>
          </cell>
          <cell r="X65">
            <v>10.8</v>
          </cell>
          <cell r="Y65">
            <v>10.8</v>
          </cell>
          <cell r="Z65">
            <v>10.8</v>
          </cell>
          <cell r="AA65">
            <v>10.8</v>
          </cell>
          <cell r="AB65">
            <v>10.8</v>
          </cell>
          <cell r="AC65">
            <v>10.8</v>
          </cell>
          <cell r="AD65">
            <v>10.8</v>
          </cell>
          <cell r="AE65">
            <v>10.8</v>
          </cell>
          <cell r="AF65">
            <v>10.8</v>
          </cell>
          <cell r="AG65">
            <v>10.8</v>
          </cell>
          <cell r="AH65">
            <v>10.8</v>
          </cell>
          <cell r="AI65">
            <v>10.8</v>
          </cell>
          <cell r="AJ65">
            <v>10.8</v>
          </cell>
          <cell r="AK65">
            <v>10.8</v>
          </cell>
          <cell r="AL65">
            <v>10.8</v>
          </cell>
          <cell r="AM65">
            <v>10.8</v>
          </cell>
          <cell r="AN65">
            <v>10.8</v>
          </cell>
          <cell r="AO65">
            <v>10.8</v>
          </cell>
          <cell r="AP65">
            <v>10.8</v>
          </cell>
          <cell r="AQ65">
            <v>10.8</v>
          </cell>
          <cell r="AR65">
            <v>10.8</v>
          </cell>
          <cell r="AS65">
            <v>10.8</v>
          </cell>
          <cell r="AT65">
            <v>10.8</v>
          </cell>
          <cell r="AU65">
            <v>10.8</v>
          </cell>
          <cell r="AV65">
            <v>10.8</v>
          </cell>
          <cell r="AW65">
            <v>10.8</v>
          </cell>
          <cell r="AX65">
            <v>10.8</v>
          </cell>
          <cell r="AY65">
            <v>10.8</v>
          </cell>
          <cell r="AZ65">
            <v>10.8</v>
          </cell>
          <cell r="BA65">
            <v>10.8</v>
          </cell>
          <cell r="BB65">
            <v>10.8</v>
          </cell>
          <cell r="BC65">
            <v>10.8</v>
          </cell>
          <cell r="BD65">
            <v>10.8</v>
          </cell>
          <cell r="BE65">
            <v>10.8</v>
          </cell>
          <cell r="BF65">
            <v>10.8</v>
          </cell>
          <cell r="BG65">
            <v>10.8</v>
          </cell>
          <cell r="BH65">
            <v>10.8</v>
          </cell>
          <cell r="BI65">
            <v>10.8</v>
          </cell>
          <cell r="BJ65">
            <v>10.8</v>
          </cell>
          <cell r="BK65">
            <v>10.8</v>
          </cell>
          <cell r="BL65">
            <v>10.8</v>
          </cell>
          <cell r="BM65">
            <v>10.8</v>
          </cell>
          <cell r="BN65">
            <v>10.8</v>
          </cell>
          <cell r="BO65">
            <v>10.8</v>
          </cell>
          <cell r="BP65">
            <v>10.8</v>
          </cell>
          <cell r="BQ65">
            <v>10.8</v>
          </cell>
          <cell r="BR65">
            <v>10.8</v>
          </cell>
          <cell r="BS65">
            <v>10.8</v>
          </cell>
          <cell r="BT65">
            <v>10.8</v>
          </cell>
          <cell r="BU65">
            <v>10.8</v>
          </cell>
          <cell r="BV65">
            <v>10.8</v>
          </cell>
          <cell r="BW65">
            <v>10.8</v>
          </cell>
          <cell r="BX65">
            <v>10.8</v>
          </cell>
          <cell r="BY65">
            <v>10.8</v>
          </cell>
          <cell r="BZ65">
            <v>10.8</v>
          </cell>
        </row>
        <row r="66">
          <cell r="B66" t="str">
            <v>RENTA DIARIA POR CIRUGÍA AMBULATORIA</v>
          </cell>
          <cell r="C66">
            <v>291.60000000000002</v>
          </cell>
          <cell r="D66">
            <v>291.60000000000002</v>
          </cell>
          <cell r="E66">
            <v>291.60000000000002</v>
          </cell>
          <cell r="F66">
            <v>291.60000000000002</v>
          </cell>
          <cell r="G66">
            <v>291.60000000000002</v>
          </cell>
          <cell r="H66">
            <v>291.60000000000002</v>
          </cell>
          <cell r="I66">
            <v>291.60000000000002</v>
          </cell>
          <cell r="J66">
            <v>291.60000000000002</v>
          </cell>
          <cell r="K66">
            <v>291.60000000000002</v>
          </cell>
          <cell r="L66">
            <v>291.60000000000002</v>
          </cell>
          <cell r="M66">
            <v>291.60000000000002</v>
          </cell>
          <cell r="N66">
            <v>291.60000000000002</v>
          </cell>
          <cell r="O66">
            <v>291.60000000000002</v>
          </cell>
          <cell r="P66">
            <v>291.60000000000002</v>
          </cell>
          <cell r="Q66">
            <v>291.60000000000002</v>
          </cell>
          <cell r="R66">
            <v>291.60000000000002</v>
          </cell>
          <cell r="S66">
            <v>291.60000000000002</v>
          </cell>
          <cell r="T66">
            <v>291.60000000000002</v>
          </cell>
          <cell r="U66">
            <v>291.60000000000002</v>
          </cell>
          <cell r="V66">
            <v>291.60000000000002</v>
          </cell>
          <cell r="W66">
            <v>291.60000000000002</v>
          </cell>
          <cell r="X66">
            <v>291.60000000000002</v>
          </cell>
          <cell r="Y66">
            <v>291.60000000000002</v>
          </cell>
          <cell r="Z66">
            <v>291.60000000000002</v>
          </cell>
          <cell r="AA66">
            <v>291.60000000000002</v>
          </cell>
          <cell r="AB66">
            <v>291.60000000000002</v>
          </cell>
          <cell r="AC66">
            <v>291.60000000000002</v>
          </cell>
          <cell r="AD66">
            <v>291.60000000000002</v>
          </cell>
          <cell r="AE66">
            <v>291.60000000000002</v>
          </cell>
          <cell r="AF66">
            <v>291.60000000000002</v>
          </cell>
          <cell r="AG66">
            <v>291.60000000000002</v>
          </cell>
          <cell r="AH66">
            <v>291.60000000000002</v>
          </cell>
          <cell r="AI66">
            <v>291.60000000000002</v>
          </cell>
          <cell r="AJ66">
            <v>291.60000000000002</v>
          </cell>
          <cell r="AK66">
            <v>291.60000000000002</v>
          </cell>
          <cell r="AL66">
            <v>291.60000000000002</v>
          </cell>
          <cell r="AM66">
            <v>291.60000000000002</v>
          </cell>
          <cell r="AN66">
            <v>291.60000000000002</v>
          </cell>
          <cell r="AO66">
            <v>291.60000000000002</v>
          </cell>
          <cell r="AP66">
            <v>291.60000000000002</v>
          </cell>
          <cell r="AQ66">
            <v>291.60000000000002</v>
          </cell>
          <cell r="AR66">
            <v>291.60000000000002</v>
          </cell>
          <cell r="AS66">
            <v>291.60000000000002</v>
          </cell>
          <cell r="AT66">
            <v>291.60000000000002</v>
          </cell>
          <cell r="AU66">
            <v>291.60000000000002</v>
          </cell>
          <cell r="AV66">
            <v>291.60000000000002</v>
          </cell>
          <cell r="AW66">
            <v>291.60000000000002</v>
          </cell>
          <cell r="AX66">
            <v>291.60000000000002</v>
          </cell>
          <cell r="AY66">
            <v>291.60000000000002</v>
          </cell>
          <cell r="AZ66">
            <v>291.60000000000002</v>
          </cell>
          <cell r="BA66">
            <v>291.60000000000002</v>
          </cell>
          <cell r="BB66">
            <v>291.60000000000002</v>
          </cell>
          <cell r="BC66">
            <v>291.60000000000002</v>
          </cell>
          <cell r="BD66">
            <v>291.60000000000002</v>
          </cell>
          <cell r="BE66">
            <v>291.60000000000002</v>
          </cell>
          <cell r="BF66">
            <v>291.60000000000002</v>
          </cell>
          <cell r="BG66">
            <v>291.60000000000002</v>
          </cell>
          <cell r="BH66">
            <v>291.60000000000002</v>
          </cell>
          <cell r="BI66">
            <v>291.60000000000002</v>
          </cell>
          <cell r="BJ66">
            <v>291.60000000000002</v>
          </cell>
          <cell r="BK66">
            <v>291.60000000000002</v>
          </cell>
          <cell r="BL66">
            <v>291.60000000000002</v>
          </cell>
          <cell r="BM66">
            <v>291.60000000000002</v>
          </cell>
          <cell r="BN66">
            <v>291.60000000000002</v>
          </cell>
          <cell r="BO66">
            <v>291.60000000000002</v>
          </cell>
          <cell r="BP66">
            <v>291.60000000000002</v>
          </cell>
          <cell r="BQ66">
            <v>291.60000000000002</v>
          </cell>
          <cell r="BR66">
            <v>291.60000000000002</v>
          </cell>
          <cell r="BS66">
            <v>291.60000000000002</v>
          </cell>
          <cell r="BT66">
            <v>291.60000000000002</v>
          </cell>
          <cell r="BU66">
            <v>291.60000000000002</v>
          </cell>
          <cell r="BV66">
            <v>291.60000000000002</v>
          </cell>
          <cell r="BW66">
            <v>291.60000000000002</v>
          </cell>
          <cell r="BX66">
            <v>291.60000000000002</v>
          </cell>
          <cell r="BY66">
            <v>291.60000000000002</v>
          </cell>
          <cell r="BZ66">
            <v>291.60000000000002</v>
          </cell>
        </row>
        <row r="67">
          <cell r="B67" t="str">
            <v>RENTA DIARIA POR HOSPITALIZACIÓN EN CASA</v>
          </cell>
          <cell r="C67">
            <v>291.60000000000002</v>
          </cell>
          <cell r="D67">
            <v>291.60000000000002</v>
          </cell>
          <cell r="E67">
            <v>291.60000000000002</v>
          </cell>
          <cell r="F67">
            <v>291.60000000000002</v>
          </cell>
          <cell r="G67">
            <v>291.60000000000002</v>
          </cell>
          <cell r="H67">
            <v>291.60000000000002</v>
          </cell>
          <cell r="I67">
            <v>291.60000000000002</v>
          </cell>
          <cell r="J67">
            <v>291.60000000000002</v>
          </cell>
          <cell r="K67">
            <v>291.60000000000002</v>
          </cell>
          <cell r="L67">
            <v>291.60000000000002</v>
          </cell>
          <cell r="M67">
            <v>291.60000000000002</v>
          </cell>
          <cell r="N67">
            <v>291.60000000000002</v>
          </cell>
          <cell r="O67">
            <v>291.60000000000002</v>
          </cell>
          <cell r="P67">
            <v>291.60000000000002</v>
          </cell>
          <cell r="Q67">
            <v>291.60000000000002</v>
          </cell>
          <cell r="R67">
            <v>291.60000000000002</v>
          </cell>
          <cell r="S67">
            <v>291.60000000000002</v>
          </cell>
          <cell r="T67">
            <v>291.60000000000002</v>
          </cell>
          <cell r="U67">
            <v>291.60000000000002</v>
          </cell>
          <cell r="V67">
            <v>291.60000000000002</v>
          </cell>
          <cell r="W67">
            <v>291.60000000000002</v>
          </cell>
          <cell r="X67">
            <v>291.60000000000002</v>
          </cell>
          <cell r="Y67">
            <v>291.60000000000002</v>
          </cell>
          <cell r="Z67">
            <v>291.60000000000002</v>
          </cell>
          <cell r="AA67">
            <v>291.60000000000002</v>
          </cell>
          <cell r="AB67">
            <v>291.60000000000002</v>
          </cell>
          <cell r="AC67">
            <v>291.60000000000002</v>
          </cell>
          <cell r="AD67">
            <v>291.60000000000002</v>
          </cell>
          <cell r="AE67">
            <v>291.60000000000002</v>
          </cell>
          <cell r="AF67">
            <v>291.60000000000002</v>
          </cell>
          <cell r="AG67">
            <v>291.60000000000002</v>
          </cell>
          <cell r="AH67">
            <v>291.60000000000002</v>
          </cell>
          <cell r="AI67">
            <v>291.60000000000002</v>
          </cell>
          <cell r="AJ67">
            <v>291.60000000000002</v>
          </cell>
          <cell r="AK67">
            <v>291.60000000000002</v>
          </cell>
          <cell r="AL67">
            <v>291.60000000000002</v>
          </cell>
          <cell r="AM67">
            <v>291.60000000000002</v>
          </cell>
          <cell r="AN67">
            <v>291.60000000000002</v>
          </cell>
          <cell r="AO67">
            <v>291.60000000000002</v>
          </cell>
          <cell r="AP67">
            <v>291.60000000000002</v>
          </cell>
          <cell r="AQ67">
            <v>291.60000000000002</v>
          </cell>
          <cell r="AR67">
            <v>291.60000000000002</v>
          </cell>
          <cell r="AS67">
            <v>291.60000000000002</v>
          </cell>
          <cell r="AT67">
            <v>291.60000000000002</v>
          </cell>
          <cell r="AU67">
            <v>291.60000000000002</v>
          </cell>
          <cell r="AV67">
            <v>291.60000000000002</v>
          </cell>
          <cell r="AW67">
            <v>291.60000000000002</v>
          </cell>
          <cell r="AX67">
            <v>291.60000000000002</v>
          </cell>
          <cell r="AY67">
            <v>291.60000000000002</v>
          </cell>
          <cell r="AZ67">
            <v>291.60000000000002</v>
          </cell>
          <cell r="BA67">
            <v>291.60000000000002</v>
          </cell>
          <cell r="BB67">
            <v>291.60000000000002</v>
          </cell>
          <cell r="BC67">
            <v>291.60000000000002</v>
          </cell>
          <cell r="BD67">
            <v>291.60000000000002</v>
          </cell>
          <cell r="BE67">
            <v>291.60000000000002</v>
          </cell>
          <cell r="BF67">
            <v>291.60000000000002</v>
          </cell>
          <cell r="BG67">
            <v>291.60000000000002</v>
          </cell>
          <cell r="BH67">
            <v>291.60000000000002</v>
          </cell>
          <cell r="BI67">
            <v>291.60000000000002</v>
          </cell>
          <cell r="BJ67">
            <v>291.60000000000002</v>
          </cell>
          <cell r="BK67">
            <v>291.60000000000002</v>
          </cell>
          <cell r="BL67">
            <v>291.60000000000002</v>
          </cell>
          <cell r="BM67">
            <v>291.60000000000002</v>
          </cell>
          <cell r="BN67">
            <v>291.60000000000002</v>
          </cell>
          <cell r="BO67">
            <v>291.60000000000002</v>
          </cell>
          <cell r="BP67">
            <v>291.60000000000002</v>
          </cell>
          <cell r="BQ67">
            <v>291.60000000000002</v>
          </cell>
          <cell r="BR67">
            <v>291.60000000000002</v>
          </cell>
          <cell r="BS67">
            <v>291.60000000000002</v>
          </cell>
          <cell r="BT67">
            <v>291.60000000000002</v>
          </cell>
          <cell r="BU67">
            <v>291.60000000000002</v>
          </cell>
          <cell r="BV67">
            <v>291.60000000000002</v>
          </cell>
          <cell r="BW67">
            <v>291.60000000000002</v>
          </cell>
          <cell r="BX67">
            <v>291.60000000000002</v>
          </cell>
          <cell r="BY67">
            <v>291.60000000000002</v>
          </cell>
          <cell r="BZ67">
            <v>291.60000000000002</v>
          </cell>
        </row>
        <row r="68">
          <cell r="B68" t="str">
            <v>RENTA DIARIA POR INCAPACIDAD POR ACCIDENTE</v>
          </cell>
          <cell r="C68">
            <v>1539</v>
          </cell>
          <cell r="D68">
            <v>1539</v>
          </cell>
          <cell r="E68">
            <v>1539</v>
          </cell>
          <cell r="F68">
            <v>1539</v>
          </cell>
          <cell r="G68">
            <v>1539</v>
          </cell>
          <cell r="H68">
            <v>1539</v>
          </cell>
          <cell r="I68">
            <v>1539</v>
          </cell>
          <cell r="J68">
            <v>1539</v>
          </cell>
          <cell r="K68">
            <v>1539</v>
          </cell>
          <cell r="L68">
            <v>1539</v>
          </cell>
          <cell r="M68">
            <v>1539</v>
          </cell>
          <cell r="N68">
            <v>1539</v>
          </cell>
          <cell r="O68">
            <v>1539</v>
          </cell>
          <cell r="P68">
            <v>1539</v>
          </cell>
          <cell r="Q68">
            <v>1539</v>
          </cell>
          <cell r="R68">
            <v>1539</v>
          </cell>
          <cell r="S68">
            <v>1539</v>
          </cell>
          <cell r="T68">
            <v>1539</v>
          </cell>
          <cell r="U68">
            <v>1539</v>
          </cell>
          <cell r="V68">
            <v>1539</v>
          </cell>
          <cell r="W68">
            <v>1539</v>
          </cell>
          <cell r="X68">
            <v>1539</v>
          </cell>
          <cell r="Y68">
            <v>1539</v>
          </cell>
          <cell r="Z68">
            <v>1539</v>
          </cell>
          <cell r="AA68">
            <v>1539</v>
          </cell>
          <cell r="AB68">
            <v>1539</v>
          </cell>
          <cell r="AC68">
            <v>1539</v>
          </cell>
          <cell r="AD68">
            <v>1539</v>
          </cell>
          <cell r="AE68">
            <v>1539</v>
          </cell>
          <cell r="AF68">
            <v>1539</v>
          </cell>
          <cell r="AG68">
            <v>1539</v>
          </cell>
          <cell r="AH68">
            <v>1539</v>
          </cell>
          <cell r="AI68">
            <v>1539</v>
          </cell>
          <cell r="AJ68">
            <v>1539</v>
          </cell>
          <cell r="AK68">
            <v>1539</v>
          </cell>
          <cell r="AL68">
            <v>1539</v>
          </cell>
          <cell r="AM68">
            <v>1539</v>
          </cell>
          <cell r="AN68">
            <v>1539</v>
          </cell>
          <cell r="AO68">
            <v>1539</v>
          </cell>
          <cell r="AP68">
            <v>1539</v>
          </cell>
          <cell r="AQ68">
            <v>1539</v>
          </cell>
          <cell r="AR68">
            <v>1539</v>
          </cell>
          <cell r="AS68">
            <v>1539</v>
          </cell>
          <cell r="AT68">
            <v>1539</v>
          </cell>
          <cell r="AU68">
            <v>1539</v>
          </cell>
          <cell r="AV68">
            <v>1539</v>
          </cell>
          <cell r="AW68">
            <v>1539</v>
          </cell>
          <cell r="AX68">
            <v>1539</v>
          </cell>
          <cell r="AY68">
            <v>1539</v>
          </cell>
          <cell r="AZ68">
            <v>1539</v>
          </cell>
          <cell r="BA68">
            <v>1539</v>
          </cell>
          <cell r="BB68">
            <v>1539</v>
          </cell>
          <cell r="BC68">
            <v>1539</v>
          </cell>
          <cell r="BD68">
            <v>1539</v>
          </cell>
          <cell r="BE68">
            <v>1539</v>
          </cell>
          <cell r="BF68">
            <v>1539</v>
          </cell>
          <cell r="BG68">
            <v>1539</v>
          </cell>
          <cell r="BH68">
            <v>1539</v>
          </cell>
          <cell r="BI68">
            <v>1539</v>
          </cell>
          <cell r="BJ68">
            <v>1539</v>
          </cell>
          <cell r="BK68">
            <v>1539</v>
          </cell>
          <cell r="BL68">
            <v>1539</v>
          </cell>
          <cell r="BM68">
            <v>1539</v>
          </cell>
          <cell r="BN68">
            <v>1539</v>
          </cell>
          <cell r="BO68">
            <v>1539</v>
          </cell>
          <cell r="BP68">
            <v>1539</v>
          </cell>
          <cell r="BQ68">
            <v>1539</v>
          </cell>
          <cell r="BR68">
            <v>1539</v>
          </cell>
          <cell r="BS68">
            <v>1539</v>
          </cell>
          <cell r="BT68">
            <v>1539</v>
          </cell>
          <cell r="BU68">
            <v>1539</v>
          </cell>
          <cell r="BV68">
            <v>1539</v>
          </cell>
          <cell r="BW68">
            <v>1539</v>
          </cell>
          <cell r="BX68">
            <v>1539</v>
          </cell>
          <cell r="BY68">
            <v>1539</v>
          </cell>
          <cell r="BZ68">
            <v>1539</v>
          </cell>
        </row>
        <row r="69">
          <cell r="B69" t="str">
            <v>RENTA DIARIA POST HOSPITALARIA</v>
          </cell>
          <cell r="C69">
            <v>291.60000000000002</v>
          </cell>
          <cell r="D69">
            <v>291.60000000000002</v>
          </cell>
          <cell r="E69">
            <v>291.60000000000002</v>
          </cell>
          <cell r="F69">
            <v>291.60000000000002</v>
          </cell>
          <cell r="G69">
            <v>291.60000000000002</v>
          </cell>
          <cell r="H69">
            <v>291.60000000000002</v>
          </cell>
          <cell r="I69">
            <v>291.60000000000002</v>
          </cell>
          <cell r="J69">
            <v>291.60000000000002</v>
          </cell>
          <cell r="K69">
            <v>291.60000000000002</v>
          </cell>
          <cell r="L69">
            <v>291.60000000000002</v>
          </cell>
          <cell r="M69">
            <v>291.60000000000002</v>
          </cell>
          <cell r="N69">
            <v>291.60000000000002</v>
          </cell>
          <cell r="O69">
            <v>291.60000000000002</v>
          </cell>
          <cell r="P69">
            <v>291.60000000000002</v>
          </cell>
          <cell r="Q69">
            <v>291.60000000000002</v>
          </cell>
          <cell r="R69">
            <v>291.60000000000002</v>
          </cell>
          <cell r="S69">
            <v>291.60000000000002</v>
          </cell>
          <cell r="T69">
            <v>291.60000000000002</v>
          </cell>
          <cell r="U69">
            <v>291.60000000000002</v>
          </cell>
          <cell r="V69">
            <v>291.60000000000002</v>
          </cell>
          <cell r="W69">
            <v>291.60000000000002</v>
          </cell>
          <cell r="X69">
            <v>291.60000000000002</v>
          </cell>
          <cell r="Y69">
            <v>291.60000000000002</v>
          </cell>
          <cell r="Z69">
            <v>291.60000000000002</v>
          </cell>
          <cell r="AA69">
            <v>291.60000000000002</v>
          </cell>
          <cell r="AB69">
            <v>291.60000000000002</v>
          </cell>
          <cell r="AC69">
            <v>291.60000000000002</v>
          </cell>
          <cell r="AD69">
            <v>291.60000000000002</v>
          </cell>
          <cell r="AE69">
            <v>291.60000000000002</v>
          </cell>
          <cell r="AF69">
            <v>291.60000000000002</v>
          </cell>
          <cell r="AG69">
            <v>291.60000000000002</v>
          </cell>
          <cell r="AH69">
            <v>291.60000000000002</v>
          </cell>
          <cell r="AI69">
            <v>291.60000000000002</v>
          </cell>
          <cell r="AJ69">
            <v>291.60000000000002</v>
          </cell>
          <cell r="AK69">
            <v>291.60000000000002</v>
          </cell>
          <cell r="AL69">
            <v>291.60000000000002</v>
          </cell>
          <cell r="AM69">
            <v>291.60000000000002</v>
          </cell>
          <cell r="AN69">
            <v>291.60000000000002</v>
          </cell>
          <cell r="AO69">
            <v>291.60000000000002</v>
          </cell>
          <cell r="AP69">
            <v>291.60000000000002</v>
          </cell>
          <cell r="AQ69">
            <v>291.60000000000002</v>
          </cell>
          <cell r="AR69">
            <v>291.60000000000002</v>
          </cell>
          <cell r="AS69">
            <v>291.60000000000002</v>
          </cell>
          <cell r="AT69">
            <v>291.60000000000002</v>
          </cell>
          <cell r="AU69">
            <v>291.60000000000002</v>
          </cell>
          <cell r="AV69">
            <v>291.60000000000002</v>
          </cell>
          <cell r="AW69">
            <v>291.60000000000002</v>
          </cell>
          <cell r="AX69">
            <v>291.60000000000002</v>
          </cell>
          <cell r="AY69">
            <v>291.60000000000002</v>
          </cell>
          <cell r="AZ69">
            <v>291.60000000000002</v>
          </cell>
          <cell r="BA69">
            <v>291.60000000000002</v>
          </cell>
          <cell r="BB69">
            <v>291.60000000000002</v>
          </cell>
          <cell r="BC69">
            <v>291.60000000000002</v>
          </cell>
          <cell r="BD69">
            <v>291.60000000000002</v>
          </cell>
          <cell r="BE69">
            <v>291.60000000000002</v>
          </cell>
          <cell r="BF69">
            <v>291.60000000000002</v>
          </cell>
          <cell r="BG69">
            <v>291.60000000000002</v>
          </cell>
          <cell r="BH69">
            <v>291.60000000000002</v>
          </cell>
          <cell r="BI69">
            <v>291.60000000000002</v>
          </cell>
          <cell r="BJ69">
            <v>291.60000000000002</v>
          </cell>
          <cell r="BK69">
            <v>291.60000000000002</v>
          </cell>
          <cell r="BL69">
            <v>291.60000000000002</v>
          </cell>
          <cell r="BM69">
            <v>291.60000000000002</v>
          </cell>
          <cell r="BN69">
            <v>291.60000000000002</v>
          </cell>
          <cell r="BO69">
            <v>291.60000000000002</v>
          </cell>
          <cell r="BP69">
            <v>291.60000000000002</v>
          </cell>
          <cell r="BQ69">
            <v>291.60000000000002</v>
          </cell>
          <cell r="BR69">
            <v>291.60000000000002</v>
          </cell>
          <cell r="BS69">
            <v>291.60000000000002</v>
          </cell>
          <cell r="BT69">
            <v>291.60000000000002</v>
          </cell>
          <cell r="BU69">
            <v>291.60000000000002</v>
          </cell>
          <cell r="BV69">
            <v>291.60000000000002</v>
          </cell>
          <cell r="BW69">
            <v>291.60000000000002</v>
          </cell>
          <cell r="BX69">
            <v>291.60000000000002</v>
          </cell>
          <cell r="BY69">
            <v>291.60000000000002</v>
          </cell>
          <cell r="BZ69">
            <v>291.60000000000002</v>
          </cell>
        </row>
        <row r="70">
          <cell r="B70" t="str">
            <v>RENTA CLÍNICA DIARIA POR COMPLICACIONES DEL EMBARAZO O PARTO</v>
          </cell>
          <cell r="C70">
            <v>291.60000000000002</v>
          </cell>
          <cell r="D70">
            <v>291.60000000000002</v>
          </cell>
          <cell r="E70">
            <v>291.60000000000002</v>
          </cell>
          <cell r="F70">
            <v>291.60000000000002</v>
          </cell>
          <cell r="G70">
            <v>291.60000000000002</v>
          </cell>
          <cell r="H70">
            <v>291.60000000000002</v>
          </cell>
          <cell r="I70">
            <v>291.60000000000002</v>
          </cell>
          <cell r="J70">
            <v>291.60000000000002</v>
          </cell>
          <cell r="K70">
            <v>291.60000000000002</v>
          </cell>
          <cell r="L70">
            <v>291.60000000000002</v>
          </cell>
          <cell r="M70">
            <v>291.60000000000002</v>
          </cell>
          <cell r="N70">
            <v>291.60000000000002</v>
          </cell>
          <cell r="O70">
            <v>291.60000000000002</v>
          </cell>
          <cell r="P70">
            <v>291.60000000000002</v>
          </cell>
          <cell r="Q70">
            <v>291.60000000000002</v>
          </cell>
          <cell r="R70">
            <v>291.60000000000002</v>
          </cell>
          <cell r="S70">
            <v>291.60000000000002</v>
          </cell>
          <cell r="T70">
            <v>291.60000000000002</v>
          </cell>
          <cell r="U70">
            <v>291.60000000000002</v>
          </cell>
          <cell r="V70">
            <v>291.60000000000002</v>
          </cell>
          <cell r="W70">
            <v>291.60000000000002</v>
          </cell>
          <cell r="X70">
            <v>291.60000000000002</v>
          </cell>
          <cell r="Y70">
            <v>291.60000000000002</v>
          </cell>
          <cell r="Z70">
            <v>291.60000000000002</v>
          </cell>
          <cell r="AA70">
            <v>291.60000000000002</v>
          </cell>
          <cell r="AB70">
            <v>291.60000000000002</v>
          </cell>
          <cell r="AC70">
            <v>291.60000000000002</v>
          </cell>
          <cell r="AD70">
            <v>291.60000000000002</v>
          </cell>
          <cell r="AE70">
            <v>291.60000000000002</v>
          </cell>
          <cell r="AF70">
            <v>291.60000000000002</v>
          </cell>
          <cell r="AG70">
            <v>291.60000000000002</v>
          </cell>
          <cell r="AH70">
            <v>291.60000000000002</v>
          </cell>
          <cell r="AI70">
            <v>291.60000000000002</v>
          </cell>
          <cell r="AJ70">
            <v>291.60000000000002</v>
          </cell>
          <cell r="AK70">
            <v>291.60000000000002</v>
          </cell>
          <cell r="AL70">
            <v>291.60000000000002</v>
          </cell>
          <cell r="AM70">
            <v>291.60000000000002</v>
          </cell>
          <cell r="AN70">
            <v>291.60000000000002</v>
          </cell>
          <cell r="AO70">
            <v>291.60000000000002</v>
          </cell>
          <cell r="AP70">
            <v>291.60000000000002</v>
          </cell>
          <cell r="AQ70">
            <v>291.60000000000002</v>
          </cell>
          <cell r="AR70">
            <v>291.60000000000002</v>
          </cell>
          <cell r="AS70">
            <v>291.60000000000002</v>
          </cell>
          <cell r="AT70">
            <v>291.60000000000002</v>
          </cell>
          <cell r="AU70">
            <v>291.60000000000002</v>
          </cell>
          <cell r="AV70">
            <v>291.60000000000002</v>
          </cell>
          <cell r="AW70">
            <v>291.60000000000002</v>
          </cell>
          <cell r="AX70">
            <v>291.60000000000002</v>
          </cell>
          <cell r="AY70">
            <v>291.60000000000002</v>
          </cell>
          <cell r="AZ70">
            <v>291.60000000000002</v>
          </cell>
          <cell r="BA70">
            <v>291.60000000000002</v>
          </cell>
          <cell r="BB70">
            <v>291.60000000000002</v>
          </cell>
          <cell r="BC70">
            <v>291.60000000000002</v>
          </cell>
          <cell r="BD70">
            <v>291.60000000000002</v>
          </cell>
          <cell r="BE70">
            <v>291.60000000000002</v>
          </cell>
          <cell r="BF70">
            <v>291.60000000000002</v>
          </cell>
          <cell r="BG70">
            <v>291.60000000000002</v>
          </cell>
          <cell r="BH70">
            <v>291.60000000000002</v>
          </cell>
          <cell r="BI70">
            <v>291.60000000000002</v>
          </cell>
          <cell r="BJ70">
            <v>291.60000000000002</v>
          </cell>
          <cell r="BK70">
            <v>291.60000000000002</v>
          </cell>
          <cell r="BL70">
            <v>291.60000000000002</v>
          </cell>
          <cell r="BM70">
            <v>291.60000000000002</v>
          </cell>
          <cell r="BN70">
            <v>291.60000000000002</v>
          </cell>
          <cell r="BO70">
            <v>291.60000000000002</v>
          </cell>
          <cell r="BP70">
            <v>291.60000000000002</v>
          </cell>
          <cell r="BQ70">
            <v>291.60000000000002</v>
          </cell>
          <cell r="BR70">
            <v>291.60000000000002</v>
          </cell>
          <cell r="BS70">
            <v>291.60000000000002</v>
          </cell>
          <cell r="BT70">
            <v>291.60000000000002</v>
          </cell>
          <cell r="BU70">
            <v>291.60000000000002</v>
          </cell>
          <cell r="BV70">
            <v>291.60000000000002</v>
          </cell>
          <cell r="BW70">
            <v>291.60000000000002</v>
          </cell>
          <cell r="BX70">
            <v>291.60000000000002</v>
          </cell>
          <cell r="BY70">
            <v>291.60000000000002</v>
          </cell>
          <cell r="BZ70">
            <v>291.60000000000002</v>
          </cell>
        </row>
      </sheetData>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ámetros"/>
      <sheetName val="Amparos"/>
      <sheetName val="PYG VIDA"/>
      <sheetName val="SLIP"/>
      <sheetName val="GRUPO ASEGURADO"/>
      <sheetName val="Hoja1"/>
      <sheetName val="Hoja2"/>
    </sheetNames>
    <sheetDataSet>
      <sheetData sheetId="0">
        <row r="2">
          <cell r="O2" t="str">
            <v>NO DEUDORES</v>
          </cell>
        </row>
      </sheetData>
      <sheetData sheetId="1">
        <row r="7">
          <cell r="B7" t="str">
            <v>AMPAROS ANEXOS</v>
          </cell>
          <cell r="C7">
            <v>20</v>
          </cell>
          <cell r="D7">
            <v>21</v>
          </cell>
          <cell r="E7">
            <v>22</v>
          </cell>
          <cell r="F7">
            <v>23</v>
          </cell>
          <cell r="G7">
            <v>24</v>
          </cell>
          <cell r="H7">
            <v>25</v>
          </cell>
          <cell r="I7">
            <v>26</v>
          </cell>
          <cell r="J7">
            <v>27</v>
          </cell>
          <cell r="K7">
            <v>28</v>
          </cell>
          <cell r="L7">
            <v>29</v>
          </cell>
          <cell r="M7">
            <v>30</v>
          </cell>
          <cell r="N7">
            <v>31</v>
          </cell>
          <cell r="O7">
            <v>32</v>
          </cell>
          <cell r="P7">
            <v>33</v>
          </cell>
          <cell r="Q7">
            <v>34</v>
          </cell>
          <cell r="R7">
            <v>35</v>
          </cell>
          <cell r="S7">
            <v>36</v>
          </cell>
          <cell r="T7">
            <v>37</v>
          </cell>
          <cell r="U7">
            <v>38</v>
          </cell>
          <cell r="V7">
            <v>39</v>
          </cell>
          <cell r="W7">
            <v>40</v>
          </cell>
          <cell r="X7">
            <v>41</v>
          </cell>
          <cell r="Y7">
            <v>42</v>
          </cell>
          <cell r="Z7">
            <v>43</v>
          </cell>
          <cell r="AA7">
            <v>44</v>
          </cell>
          <cell r="AB7">
            <v>45</v>
          </cell>
          <cell r="AC7">
            <v>46</v>
          </cell>
          <cell r="AD7">
            <v>47</v>
          </cell>
          <cell r="AE7">
            <v>48</v>
          </cell>
          <cell r="AF7">
            <v>49</v>
          </cell>
          <cell r="AG7">
            <v>50</v>
          </cell>
          <cell r="AH7">
            <v>51</v>
          </cell>
          <cell r="AI7">
            <v>52</v>
          </cell>
          <cell r="AJ7">
            <v>53</v>
          </cell>
          <cell r="AK7">
            <v>54</v>
          </cell>
          <cell r="AL7">
            <v>55</v>
          </cell>
          <cell r="AM7">
            <v>56</v>
          </cell>
          <cell r="AN7">
            <v>57</v>
          </cell>
          <cell r="AO7">
            <v>58</v>
          </cell>
          <cell r="AP7">
            <v>59</v>
          </cell>
          <cell r="AQ7">
            <v>60</v>
          </cell>
          <cell r="AR7">
            <v>61</v>
          </cell>
          <cell r="AS7">
            <v>62</v>
          </cell>
          <cell r="AT7">
            <v>63</v>
          </cell>
          <cell r="AU7">
            <v>64</v>
          </cell>
          <cell r="AV7">
            <v>65</v>
          </cell>
          <cell r="AW7">
            <v>66</v>
          </cell>
          <cell r="AX7">
            <v>67</v>
          </cell>
          <cell r="AY7">
            <v>68</v>
          </cell>
          <cell r="AZ7">
            <v>69</v>
          </cell>
          <cell r="BA7">
            <v>70</v>
          </cell>
          <cell r="BB7" t="str">
            <v>RELACION ENTRE AMPAROS</v>
          </cell>
          <cell r="BC7" t="str">
            <v>VALOR MAXIMO</v>
          </cell>
          <cell r="BD7" t="str">
            <v>Hace parte del VG?</v>
          </cell>
          <cell r="BE7" t="str">
            <v>Deudores?</v>
          </cell>
          <cell r="BF7" t="str">
            <v>Aclaraciones</v>
          </cell>
        </row>
        <row r="8">
          <cell r="B8" t="str">
            <v>INCAPACIDAD TOTAL Y PERMANENTE</v>
          </cell>
          <cell r="C8">
            <v>0.26</v>
          </cell>
          <cell r="D8">
            <v>0.26</v>
          </cell>
          <cell r="E8">
            <v>0.26</v>
          </cell>
          <cell r="F8">
            <v>0.26</v>
          </cell>
          <cell r="G8">
            <v>0.26</v>
          </cell>
          <cell r="H8">
            <v>0.26</v>
          </cell>
          <cell r="I8">
            <v>0.26</v>
          </cell>
          <cell r="J8">
            <v>0.26</v>
          </cell>
          <cell r="K8">
            <v>0.26</v>
          </cell>
          <cell r="L8">
            <v>0.26</v>
          </cell>
          <cell r="M8">
            <v>0.26</v>
          </cell>
          <cell r="N8">
            <v>0.26</v>
          </cell>
          <cell r="O8">
            <v>0.26</v>
          </cell>
          <cell r="P8">
            <v>0.26</v>
          </cell>
          <cell r="Q8">
            <v>0.26</v>
          </cell>
          <cell r="R8">
            <v>0.26</v>
          </cell>
          <cell r="S8">
            <v>0.26</v>
          </cell>
          <cell r="T8">
            <v>0.26</v>
          </cell>
          <cell r="U8">
            <v>0.26</v>
          </cell>
          <cell r="V8">
            <v>0.26</v>
          </cell>
          <cell r="W8">
            <v>0.26</v>
          </cell>
          <cell r="X8">
            <v>0.26</v>
          </cell>
          <cell r="Y8">
            <v>0.26</v>
          </cell>
          <cell r="Z8">
            <v>0.26</v>
          </cell>
          <cell r="AA8">
            <v>0.26</v>
          </cell>
          <cell r="AB8">
            <v>0.26</v>
          </cell>
          <cell r="AC8">
            <v>0.26</v>
          </cell>
          <cell r="AD8">
            <v>0.26</v>
          </cell>
          <cell r="AE8">
            <v>0.26</v>
          </cell>
          <cell r="AF8">
            <v>0.26</v>
          </cell>
          <cell r="AG8">
            <v>0.26</v>
          </cell>
          <cell r="AH8">
            <v>0.26</v>
          </cell>
          <cell r="AI8">
            <v>0.26</v>
          </cell>
          <cell r="AJ8">
            <v>0.26</v>
          </cell>
          <cell r="AK8">
            <v>0.26</v>
          </cell>
          <cell r="AL8">
            <v>0.26</v>
          </cell>
          <cell r="AM8">
            <v>0.26</v>
          </cell>
          <cell r="AN8">
            <v>0.26</v>
          </cell>
          <cell r="AO8">
            <v>0.26</v>
          </cell>
          <cell r="AP8">
            <v>0.26</v>
          </cell>
          <cell r="AQ8">
            <v>0.26</v>
          </cell>
          <cell r="AR8">
            <v>0.26</v>
          </cell>
          <cell r="AS8">
            <v>0.26</v>
          </cell>
          <cell r="AT8">
            <v>0.26</v>
          </cell>
          <cell r="AU8">
            <v>0.26</v>
          </cell>
          <cell r="AV8">
            <v>0.26</v>
          </cell>
          <cell r="AW8">
            <v>0.26</v>
          </cell>
          <cell r="AX8">
            <v>0.26</v>
          </cell>
          <cell r="AY8">
            <v>0.26</v>
          </cell>
          <cell r="AZ8">
            <v>0.26</v>
          </cell>
          <cell r="BA8">
            <v>0.26</v>
          </cell>
          <cell r="BB8">
            <v>1</v>
          </cell>
          <cell r="BC8" t="str">
            <v>N/A</v>
          </cell>
          <cell r="BD8" t="str">
            <v>SÍ</v>
          </cell>
          <cell r="BE8" t="str">
            <v>Sí</v>
          </cell>
        </row>
        <row r="9">
          <cell r="B9" t="str">
            <v>INDEMINIZACIÓN ADICIONAL POR MUERTE ACCIDENTAL</v>
          </cell>
          <cell r="C9">
            <v>0.46</v>
          </cell>
          <cell r="D9">
            <v>0.46</v>
          </cell>
          <cell r="E9">
            <v>0.46</v>
          </cell>
          <cell r="F9">
            <v>0.46</v>
          </cell>
          <cell r="G9">
            <v>0.46</v>
          </cell>
          <cell r="H9">
            <v>0.46</v>
          </cell>
          <cell r="I9">
            <v>0.46</v>
          </cell>
          <cell r="J9">
            <v>0.46</v>
          </cell>
          <cell r="K9">
            <v>0.46</v>
          </cell>
          <cell r="L9">
            <v>0.46</v>
          </cell>
          <cell r="M9">
            <v>0.46</v>
          </cell>
          <cell r="N9">
            <v>0.46</v>
          </cell>
          <cell r="O9">
            <v>0.46</v>
          </cell>
          <cell r="P9">
            <v>0.46</v>
          </cell>
          <cell r="Q9">
            <v>0.46</v>
          </cell>
          <cell r="R9">
            <v>0.46</v>
          </cell>
          <cell r="S9">
            <v>0.46</v>
          </cell>
          <cell r="T9">
            <v>0.46</v>
          </cell>
          <cell r="U9">
            <v>0.46</v>
          </cell>
          <cell r="V9">
            <v>0.46</v>
          </cell>
          <cell r="W9">
            <v>0.46</v>
          </cell>
          <cell r="X9">
            <v>0.46</v>
          </cell>
          <cell r="Y9">
            <v>0.46</v>
          </cell>
          <cell r="Z9">
            <v>0.46</v>
          </cell>
          <cell r="AA9">
            <v>0.46</v>
          </cell>
          <cell r="AB9">
            <v>0.46</v>
          </cell>
          <cell r="AC9">
            <v>0.46</v>
          </cell>
          <cell r="AD9">
            <v>0.46</v>
          </cell>
          <cell r="AE9">
            <v>0.46</v>
          </cell>
          <cell r="AF9">
            <v>0.46</v>
          </cell>
          <cell r="AG9">
            <v>0.46</v>
          </cell>
          <cell r="AH9">
            <v>0.46</v>
          </cell>
          <cell r="AI9">
            <v>0.46</v>
          </cell>
          <cell r="AJ9">
            <v>0.46</v>
          </cell>
          <cell r="AK9">
            <v>0.46</v>
          </cell>
          <cell r="AL9">
            <v>0.46</v>
          </cell>
          <cell r="AM9">
            <v>0.46</v>
          </cell>
          <cell r="AN9">
            <v>0.46</v>
          </cell>
          <cell r="AO9">
            <v>0.46</v>
          </cell>
          <cell r="AP9">
            <v>0.46</v>
          </cell>
          <cell r="AQ9">
            <v>0.46</v>
          </cell>
          <cell r="AR9">
            <v>0.46</v>
          </cell>
          <cell r="AS9">
            <v>0.46</v>
          </cell>
          <cell r="AT9">
            <v>0.46</v>
          </cell>
          <cell r="AU9">
            <v>0.46</v>
          </cell>
          <cell r="AV9">
            <v>0.46</v>
          </cell>
          <cell r="AW9">
            <v>0.46</v>
          </cell>
          <cell r="AX9">
            <v>0.46</v>
          </cell>
          <cell r="AY9">
            <v>0.46</v>
          </cell>
          <cell r="AZ9">
            <v>0.46</v>
          </cell>
          <cell r="BA9">
            <v>0.46</v>
          </cell>
          <cell r="BB9">
            <v>1</v>
          </cell>
          <cell r="BC9" t="str">
            <v>N/A</v>
          </cell>
          <cell r="BD9" t="str">
            <v>SÍ</v>
          </cell>
          <cell r="BE9" t="str">
            <v>No</v>
          </cell>
        </row>
        <row r="10">
          <cell r="B10" t="str">
            <v>BENEFICIOS POR DESMEBRACIÓN</v>
          </cell>
          <cell r="C10">
            <v>0.39</v>
          </cell>
          <cell r="D10">
            <v>0.39</v>
          </cell>
          <cell r="E10">
            <v>0.39</v>
          </cell>
          <cell r="F10">
            <v>0.39</v>
          </cell>
          <cell r="G10">
            <v>0.39</v>
          </cell>
          <cell r="H10">
            <v>0.39</v>
          </cell>
          <cell r="I10">
            <v>0.39</v>
          </cell>
          <cell r="J10">
            <v>0.39</v>
          </cell>
          <cell r="K10">
            <v>0.39</v>
          </cell>
          <cell r="L10">
            <v>0.39</v>
          </cell>
          <cell r="M10">
            <v>0.39</v>
          </cell>
          <cell r="N10">
            <v>0.39</v>
          </cell>
          <cell r="O10">
            <v>0.39</v>
          </cell>
          <cell r="P10">
            <v>0.39</v>
          </cell>
          <cell r="Q10">
            <v>0.39</v>
          </cell>
          <cell r="R10">
            <v>0.39</v>
          </cell>
          <cell r="S10">
            <v>0.39</v>
          </cell>
          <cell r="T10">
            <v>0.39</v>
          </cell>
          <cell r="U10">
            <v>0.39</v>
          </cell>
          <cell r="V10">
            <v>0.39</v>
          </cell>
          <cell r="W10">
            <v>0.39</v>
          </cell>
          <cell r="X10">
            <v>0.39</v>
          </cell>
          <cell r="Y10">
            <v>0.39</v>
          </cell>
          <cell r="Z10">
            <v>0.39</v>
          </cell>
          <cell r="AA10">
            <v>0.39</v>
          </cell>
          <cell r="AB10">
            <v>0.39</v>
          </cell>
          <cell r="AC10">
            <v>0.39</v>
          </cell>
          <cell r="AD10">
            <v>0.39</v>
          </cell>
          <cell r="AE10">
            <v>0.39</v>
          </cell>
          <cell r="AF10">
            <v>0.39</v>
          </cell>
          <cell r="AG10">
            <v>0.39</v>
          </cell>
          <cell r="AH10">
            <v>0.39</v>
          </cell>
          <cell r="AI10">
            <v>0.39</v>
          </cell>
          <cell r="AJ10">
            <v>0.39</v>
          </cell>
          <cell r="AK10">
            <v>0.39</v>
          </cell>
          <cell r="AL10">
            <v>0.39</v>
          </cell>
          <cell r="AM10">
            <v>0.39</v>
          </cell>
          <cell r="AN10">
            <v>0.39</v>
          </cell>
          <cell r="AO10">
            <v>0.39</v>
          </cell>
          <cell r="AP10">
            <v>0.39</v>
          </cell>
          <cell r="AQ10">
            <v>0.39</v>
          </cell>
          <cell r="AR10">
            <v>0.39</v>
          </cell>
          <cell r="AS10">
            <v>0.39</v>
          </cell>
          <cell r="AT10">
            <v>0.39</v>
          </cell>
          <cell r="AU10">
            <v>0.39</v>
          </cell>
          <cell r="AV10">
            <v>0.39</v>
          </cell>
          <cell r="AW10">
            <v>0.39</v>
          </cell>
          <cell r="AX10">
            <v>0.39</v>
          </cell>
          <cell r="AY10">
            <v>0.39</v>
          </cell>
          <cell r="AZ10">
            <v>0.39</v>
          </cell>
          <cell r="BA10">
            <v>0.39</v>
          </cell>
          <cell r="BB10">
            <v>1</v>
          </cell>
          <cell r="BC10" t="str">
            <v>N/A</v>
          </cell>
          <cell r="BD10" t="str">
            <v>SÍ</v>
          </cell>
          <cell r="BE10" t="str">
            <v>No</v>
          </cell>
        </row>
        <row r="11">
          <cell r="B11" t="str">
            <v>INDEMINIZACIÓN ADICIONAL POR MUERTE ACCIDENTAL Y BENEFICIOS POR DESMEMBRACIÓN </v>
          </cell>
          <cell r="C11">
            <v>0.85</v>
          </cell>
          <cell r="D11">
            <v>0.85</v>
          </cell>
          <cell r="E11">
            <v>0.85</v>
          </cell>
          <cell r="F11">
            <v>0.85</v>
          </cell>
          <cell r="G11">
            <v>0.85</v>
          </cell>
          <cell r="H11">
            <v>0.85</v>
          </cell>
          <cell r="I11">
            <v>0.85</v>
          </cell>
          <cell r="J11">
            <v>0.85</v>
          </cell>
          <cell r="K11">
            <v>0.85</v>
          </cell>
          <cell r="L11">
            <v>0.85</v>
          </cell>
          <cell r="M11">
            <v>0.85</v>
          </cell>
          <cell r="N11">
            <v>0.85</v>
          </cell>
          <cell r="O11">
            <v>0.85</v>
          </cell>
          <cell r="P11">
            <v>0.85</v>
          </cell>
          <cell r="Q11">
            <v>0.85</v>
          </cell>
          <cell r="R11">
            <v>0.85</v>
          </cell>
          <cell r="S11">
            <v>0.85</v>
          </cell>
          <cell r="T11">
            <v>0.85</v>
          </cell>
          <cell r="U11">
            <v>0.85</v>
          </cell>
          <cell r="V11">
            <v>0.85</v>
          </cell>
          <cell r="W11">
            <v>0.85</v>
          </cell>
          <cell r="X11">
            <v>0.85</v>
          </cell>
          <cell r="Y11">
            <v>0.85</v>
          </cell>
          <cell r="Z11">
            <v>0.85</v>
          </cell>
          <cell r="AA11">
            <v>0.85</v>
          </cell>
          <cell r="AB11">
            <v>0.85</v>
          </cell>
          <cell r="AC11">
            <v>0.85</v>
          </cell>
          <cell r="AD11">
            <v>0.85</v>
          </cell>
          <cell r="AE11">
            <v>0.85</v>
          </cell>
          <cell r="AF11">
            <v>0.85</v>
          </cell>
          <cell r="AG11">
            <v>0.85</v>
          </cell>
          <cell r="AH11">
            <v>0.85</v>
          </cell>
          <cell r="AI11">
            <v>0.85</v>
          </cell>
          <cell r="AJ11">
            <v>0.85</v>
          </cell>
          <cell r="AK11">
            <v>0.85</v>
          </cell>
          <cell r="AL11">
            <v>0.85</v>
          </cell>
          <cell r="AM11">
            <v>0.85</v>
          </cell>
          <cell r="AN11">
            <v>0.85</v>
          </cell>
          <cell r="AO11">
            <v>0.85</v>
          </cell>
          <cell r="AP11">
            <v>0.85</v>
          </cell>
          <cell r="AQ11">
            <v>0.85</v>
          </cell>
          <cell r="AR11">
            <v>0.85</v>
          </cell>
          <cell r="AS11">
            <v>0.85</v>
          </cell>
          <cell r="AT11">
            <v>0.85</v>
          </cell>
          <cell r="AU11">
            <v>0.85</v>
          </cell>
          <cell r="AV11">
            <v>0.85</v>
          </cell>
          <cell r="AW11">
            <v>0.85</v>
          </cell>
          <cell r="AX11">
            <v>0.85</v>
          </cell>
          <cell r="AY11">
            <v>0.85</v>
          </cell>
          <cell r="AZ11">
            <v>0.85</v>
          </cell>
          <cell r="BA11">
            <v>0.85</v>
          </cell>
          <cell r="BB11">
            <v>1</v>
          </cell>
          <cell r="BC11" t="str">
            <v>N/A</v>
          </cell>
          <cell r="BD11" t="str">
            <v>SÍ</v>
          </cell>
          <cell r="BE11" t="str">
            <v>No</v>
          </cell>
        </row>
        <row r="12">
          <cell r="B12" t="str">
            <v>ENFERMEDADES GRAVES</v>
          </cell>
          <cell r="C12">
            <v>0.35099999999999998</v>
          </cell>
          <cell r="D12">
            <v>0.38300000000000001</v>
          </cell>
          <cell r="E12">
            <v>0.41399999999999998</v>
          </cell>
          <cell r="F12">
            <v>0.44600000000000001</v>
          </cell>
          <cell r="G12">
            <v>0.47699999999999998</v>
          </cell>
          <cell r="H12">
            <v>0.50900000000000001</v>
          </cell>
          <cell r="I12">
            <v>0.54</v>
          </cell>
          <cell r="J12">
            <v>0.57199999999999995</v>
          </cell>
          <cell r="K12">
            <v>0.60299999999999998</v>
          </cell>
          <cell r="L12">
            <v>0.63500000000000001</v>
          </cell>
          <cell r="M12">
            <v>0.66600000000000004</v>
          </cell>
          <cell r="N12">
            <v>0.77</v>
          </cell>
          <cell r="O12">
            <v>0.874</v>
          </cell>
          <cell r="P12">
            <v>0.97799999999999998</v>
          </cell>
          <cell r="Q12">
            <v>1.0820000000000001</v>
          </cell>
          <cell r="R12">
            <v>1.1859999999999999</v>
          </cell>
          <cell r="S12">
            <v>1.4219999999999999</v>
          </cell>
          <cell r="T12">
            <v>1.659</v>
          </cell>
          <cell r="U12">
            <v>1.8959999999999999</v>
          </cell>
          <cell r="V12">
            <v>2.1320000000000001</v>
          </cell>
          <cell r="W12">
            <v>2.3690000000000002</v>
          </cell>
          <cell r="X12">
            <v>2.8730000000000002</v>
          </cell>
          <cell r="Y12">
            <v>3.3780000000000001</v>
          </cell>
          <cell r="Z12">
            <v>3.883</v>
          </cell>
          <cell r="AA12">
            <v>4.3869999999999996</v>
          </cell>
          <cell r="AB12">
            <v>4.8920000000000003</v>
          </cell>
          <cell r="AC12">
            <v>5.7759999999999998</v>
          </cell>
          <cell r="AD12">
            <v>6.6589999999999998</v>
          </cell>
          <cell r="AE12">
            <v>7.5419999999999998</v>
          </cell>
          <cell r="AF12">
            <v>8.4260000000000002</v>
          </cell>
          <cell r="AG12">
            <v>9.3089999999999993</v>
          </cell>
          <cell r="AH12">
            <v>10.576000000000001</v>
          </cell>
          <cell r="AI12">
            <v>11.843</v>
          </cell>
          <cell r="AJ12">
            <v>13.11</v>
          </cell>
          <cell r="AK12">
            <v>14.377000000000001</v>
          </cell>
          <cell r="AL12">
            <v>15.644</v>
          </cell>
          <cell r="AM12">
            <v>17.253</v>
          </cell>
          <cell r="AN12">
            <v>18.863</v>
          </cell>
          <cell r="AO12">
            <v>20.472999999999999</v>
          </cell>
          <cell r="AP12">
            <v>22.082000000000001</v>
          </cell>
          <cell r="AQ12">
            <v>23.69</v>
          </cell>
          <cell r="AR12">
            <v>27.053000000000001</v>
          </cell>
          <cell r="AS12">
            <v>30.414999999999999</v>
          </cell>
          <cell r="AT12">
            <v>33.776000000000003</v>
          </cell>
          <cell r="AU12">
            <v>37.137999999999998</v>
          </cell>
          <cell r="AV12">
            <v>40.499000000000002</v>
          </cell>
          <cell r="AW12">
            <v>0</v>
          </cell>
          <cell r="AX12">
            <v>0</v>
          </cell>
          <cell r="AY12">
            <v>0</v>
          </cell>
          <cell r="AZ12">
            <v>0</v>
          </cell>
          <cell r="BA12">
            <v>0</v>
          </cell>
          <cell r="BB12">
            <v>0.5</v>
          </cell>
          <cell r="BC12" t="str">
            <v>N/A</v>
          </cell>
          <cell r="BD12" t="str">
            <v>SÍ</v>
          </cell>
          <cell r="BE12" t="str">
            <v>No</v>
          </cell>
        </row>
        <row r="13">
          <cell r="B13" t="str">
            <v xml:space="preserve">GASTOS FUNERARIOS </v>
          </cell>
          <cell r="C13">
            <v>0.38200000000000001</v>
          </cell>
          <cell r="D13">
            <v>0.38200000000000001</v>
          </cell>
          <cell r="E13">
            <v>0.38200000000000001</v>
          </cell>
          <cell r="F13">
            <v>0.38200000000000001</v>
          </cell>
          <cell r="G13">
            <v>0.38200000000000001</v>
          </cell>
          <cell r="H13">
            <v>0.38200000000000001</v>
          </cell>
          <cell r="I13">
            <v>0.38200000000000001</v>
          </cell>
          <cell r="J13">
            <v>0.38200000000000001</v>
          </cell>
          <cell r="K13">
            <v>0.38200000000000001</v>
          </cell>
          <cell r="L13">
            <v>0.38200000000000001</v>
          </cell>
          <cell r="M13">
            <v>0.38200000000000001</v>
          </cell>
          <cell r="N13">
            <v>0.38200000000000001</v>
          </cell>
          <cell r="O13">
            <v>0.38200000000000001</v>
          </cell>
          <cell r="P13">
            <v>0.38200000000000001</v>
          </cell>
          <cell r="Q13">
            <v>0.38200000000000001</v>
          </cell>
          <cell r="R13">
            <v>0.38200000000000001</v>
          </cell>
          <cell r="S13">
            <v>0.38200000000000001</v>
          </cell>
          <cell r="T13">
            <v>0.38200000000000001</v>
          </cell>
          <cell r="U13">
            <v>0.38200000000000001</v>
          </cell>
          <cell r="V13">
            <v>0.38200000000000001</v>
          </cell>
          <cell r="W13">
            <v>0.38200000000000001</v>
          </cell>
          <cell r="X13">
            <v>0.38200000000000001</v>
          </cell>
          <cell r="Y13">
            <v>0.38200000000000001</v>
          </cell>
          <cell r="Z13">
            <v>0.38200000000000001</v>
          </cell>
          <cell r="AA13">
            <v>0.38200000000000001</v>
          </cell>
          <cell r="AB13">
            <v>0.38200000000000001</v>
          </cell>
          <cell r="AC13">
            <v>0.38200000000000001</v>
          </cell>
          <cell r="AD13">
            <v>0.38200000000000001</v>
          </cell>
          <cell r="AE13">
            <v>0.38200000000000001</v>
          </cell>
          <cell r="AF13">
            <v>0.38200000000000001</v>
          </cell>
          <cell r="AG13">
            <v>0.38200000000000001</v>
          </cell>
          <cell r="AH13">
            <v>0.38200000000000001</v>
          </cell>
          <cell r="AI13">
            <v>0.38200000000000001</v>
          </cell>
          <cell r="AJ13">
            <v>0.38200000000000001</v>
          </cell>
          <cell r="AK13">
            <v>0.38200000000000001</v>
          </cell>
          <cell r="AL13">
            <v>0.38200000000000001</v>
          </cell>
          <cell r="AM13">
            <v>0.38200000000000001</v>
          </cell>
          <cell r="AN13">
            <v>0.38200000000000001</v>
          </cell>
          <cell r="AO13">
            <v>0.38200000000000001</v>
          </cell>
          <cell r="AP13">
            <v>0.38200000000000001</v>
          </cell>
          <cell r="AQ13">
            <v>0.38200000000000001</v>
          </cell>
          <cell r="AR13">
            <v>0.38200000000000001</v>
          </cell>
          <cell r="AS13">
            <v>0.38200000000000001</v>
          </cell>
          <cell r="AT13">
            <v>0.38200000000000001</v>
          </cell>
          <cell r="AU13">
            <v>0.38200000000000001</v>
          </cell>
          <cell r="AV13">
            <v>0.38200000000000001</v>
          </cell>
          <cell r="AW13">
            <v>0.38200000000000001</v>
          </cell>
          <cell r="AX13">
            <v>0.38200000000000001</v>
          </cell>
          <cell r="AY13">
            <v>0.38200000000000001</v>
          </cell>
          <cell r="AZ13">
            <v>0.38200000000000001</v>
          </cell>
          <cell r="BA13">
            <v>0.38200000000000001</v>
          </cell>
          <cell r="BB13">
            <v>1</v>
          </cell>
          <cell r="BC13">
            <v>5000000</v>
          </cell>
          <cell r="BD13" t="str">
            <v>SÍ</v>
          </cell>
          <cell r="BE13" t="str">
            <v>No</v>
          </cell>
        </row>
        <row r="14">
          <cell r="B14" t="str">
            <v>RENTA CLINICA DIARIA POR ENFERMEDAD O ACCIDENTE</v>
          </cell>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1</v>
          </cell>
          <cell r="BC14" t="str">
            <v>N/A</v>
          </cell>
          <cell r="BD14" t="str">
            <v>SÍ</v>
          </cell>
          <cell r="BE14" t="str">
            <v>No</v>
          </cell>
          <cell r="BF14" t="str">
            <v>Diários</v>
          </cell>
        </row>
        <row r="15">
          <cell r="B15" t="str">
            <v>TRANSPLANTE DE ORGANOS</v>
          </cell>
          <cell r="C15">
            <v>0</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1</v>
          </cell>
          <cell r="BC15">
            <v>65000000</v>
          </cell>
          <cell r="BD15" t="str">
            <v>SÍ</v>
          </cell>
          <cell r="BE15" t="str">
            <v>No</v>
          </cell>
        </row>
        <row r="16">
          <cell r="B16" t="str">
            <v>CANASTA FAMILIAR</v>
          </cell>
          <cell r="BB16">
            <v>1</v>
          </cell>
          <cell r="BC16" t="str">
            <v>N/A</v>
          </cell>
          <cell r="BD16" t="str">
            <v>SÍ</v>
          </cell>
          <cell r="BE16" t="str">
            <v>No</v>
          </cell>
        </row>
      </sheetData>
      <sheetData sheetId="2"/>
      <sheetData sheetId="3"/>
      <sheetData sheetId="4"/>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ato Vida"/>
      <sheetName val="FORMATO"/>
      <sheetName val="Parámetros"/>
      <sheetName val="SLIP"/>
      <sheetName val="Hoja2"/>
      <sheetName val="CotizadorVidaG2017V3"/>
    </sheetNames>
    <sheetDataSet>
      <sheetData sheetId="0"/>
      <sheetData sheetId="1"/>
      <sheetData sheetId="2"/>
      <sheetData sheetId="3"/>
      <sheetData sheetId="4"/>
      <sheetData sheetId="5"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3"/>
  <dimension ref="A1:P97"/>
  <sheetViews>
    <sheetView showGridLines="0" tabSelected="1" topLeftCell="A89" zoomScale="130" zoomScaleNormal="130" workbookViewId="0">
      <selection activeCell="C79" sqref="C79"/>
    </sheetView>
  </sheetViews>
  <sheetFormatPr baseColWidth="10" defaultRowHeight="12.75" customHeight="1" zeroHeight="1" x14ac:dyDescent="0.25"/>
  <cols>
    <col min="1" max="1" width="55.26953125" style="42" customWidth="1"/>
    <col min="2" max="2" width="31.26953125" style="42" customWidth="1"/>
    <col min="3" max="3" width="25.7265625" style="43" customWidth="1"/>
    <col min="4" max="4" width="3.26953125" style="4" customWidth="1"/>
    <col min="5" max="7" width="0" style="4" hidden="1" customWidth="1"/>
    <col min="8" max="8" width="13.453125" style="4" hidden="1" customWidth="1"/>
    <col min="9" max="256" width="0" style="4" hidden="1" customWidth="1"/>
    <col min="257" max="257" width="55.26953125" style="4" customWidth="1"/>
    <col min="258" max="258" width="31.26953125" style="4" customWidth="1"/>
    <col min="259" max="259" width="25.7265625" style="4" customWidth="1"/>
    <col min="260" max="260" width="3.26953125" style="4" customWidth="1"/>
    <col min="261" max="512" width="0" style="4" hidden="1" customWidth="1"/>
    <col min="513" max="513" width="55.26953125" style="4" customWidth="1"/>
    <col min="514" max="514" width="31.26953125" style="4" customWidth="1"/>
    <col min="515" max="515" width="25.7265625" style="4" customWidth="1"/>
    <col min="516" max="516" width="3.26953125" style="4" customWidth="1"/>
    <col min="517" max="768" width="0" style="4" hidden="1" customWidth="1"/>
    <col min="769" max="769" width="55.26953125" style="4" customWidth="1"/>
    <col min="770" max="770" width="31.26953125" style="4" customWidth="1"/>
    <col min="771" max="771" width="25.7265625" style="4" customWidth="1"/>
    <col min="772" max="772" width="3.26953125" style="4" customWidth="1"/>
    <col min="773" max="1024" width="0" style="4" hidden="1" customWidth="1"/>
    <col min="1025" max="1025" width="55.26953125" style="4" customWidth="1"/>
    <col min="1026" max="1026" width="31.26953125" style="4" customWidth="1"/>
    <col min="1027" max="1027" width="25.7265625" style="4" customWidth="1"/>
    <col min="1028" max="1028" width="3.26953125" style="4" customWidth="1"/>
    <col min="1029" max="1280" width="0" style="4" hidden="1" customWidth="1"/>
    <col min="1281" max="1281" width="55.26953125" style="4" customWidth="1"/>
    <col min="1282" max="1282" width="31.26953125" style="4" customWidth="1"/>
    <col min="1283" max="1283" width="25.7265625" style="4" customWidth="1"/>
    <col min="1284" max="1284" width="3.26953125" style="4" customWidth="1"/>
    <col min="1285" max="1536" width="0" style="4" hidden="1" customWidth="1"/>
    <col min="1537" max="1537" width="55.26953125" style="4" customWidth="1"/>
    <col min="1538" max="1538" width="31.26953125" style="4" customWidth="1"/>
    <col min="1539" max="1539" width="25.7265625" style="4" customWidth="1"/>
    <col min="1540" max="1540" width="3.26953125" style="4" customWidth="1"/>
    <col min="1541" max="1792" width="0" style="4" hidden="1" customWidth="1"/>
    <col min="1793" max="1793" width="55.26953125" style="4" customWidth="1"/>
    <col min="1794" max="1794" width="31.26953125" style="4" customWidth="1"/>
    <col min="1795" max="1795" width="25.7265625" style="4" customWidth="1"/>
    <col min="1796" max="1796" width="3.26953125" style="4" customWidth="1"/>
    <col min="1797" max="2048" width="0" style="4" hidden="1" customWidth="1"/>
    <col min="2049" max="2049" width="55.26953125" style="4" customWidth="1"/>
    <col min="2050" max="2050" width="31.26953125" style="4" customWidth="1"/>
    <col min="2051" max="2051" width="25.7265625" style="4" customWidth="1"/>
    <col min="2052" max="2052" width="3.26953125" style="4" customWidth="1"/>
    <col min="2053" max="2304" width="0" style="4" hidden="1" customWidth="1"/>
    <col min="2305" max="2305" width="55.26953125" style="4" customWidth="1"/>
    <col min="2306" max="2306" width="31.26953125" style="4" customWidth="1"/>
    <col min="2307" max="2307" width="25.7265625" style="4" customWidth="1"/>
    <col min="2308" max="2308" width="3.26953125" style="4" customWidth="1"/>
    <col min="2309" max="2560" width="0" style="4" hidden="1" customWidth="1"/>
    <col min="2561" max="2561" width="55.26953125" style="4" customWidth="1"/>
    <col min="2562" max="2562" width="31.26953125" style="4" customWidth="1"/>
    <col min="2563" max="2563" width="25.7265625" style="4" customWidth="1"/>
    <col min="2564" max="2564" width="3.26953125" style="4" customWidth="1"/>
    <col min="2565" max="2816" width="0" style="4" hidden="1" customWidth="1"/>
    <col min="2817" max="2817" width="55.26953125" style="4" customWidth="1"/>
    <col min="2818" max="2818" width="31.26953125" style="4" customWidth="1"/>
    <col min="2819" max="2819" width="25.7265625" style="4" customWidth="1"/>
    <col min="2820" max="2820" width="3.26953125" style="4" customWidth="1"/>
    <col min="2821" max="3072" width="0" style="4" hidden="1" customWidth="1"/>
    <col min="3073" max="3073" width="55.26953125" style="4" customWidth="1"/>
    <col min="3074" max="3074" width="31.26953125" style="4" customWidth="1"/>
    <col min="3075" max="3075" width="25.7265625" style="4" customWidth="1"/>
    <col min="3076" max="3076" width="3.26953125" style="4" customWidth="1"/>
    <col min="3077" max="3328" width="0" style="4" hidden="1" customWidth="1"/>
    <col min="3329" max="3329" width="55.26953125" style="4" customWidth="1"/>
    <col min="3330" max="3330" width="31.26953125" style="4" customWidth="1"/>
    <col min="3331" max="3331" width="25.7265625" style="4" customWidth="1"/>
    <col min="3332" max="3332" width="3.26953125" style="4" customWidth="1"/>
    <col min="3333" max="3584" width="0" style="4" hidden="1" customWidth="1"/>
    <col min="3585" max="3585" width="55.26953125" style="4" customWidth="1"/>
    <col min="3586" max="3586" width="31.26953125" style="4" customWidth="1"/>
    <col min="3587" max="3587" width="25.7265625" style="4" customWidth="1"/>
    <col min="3588" max="3588" width="3.26953125" style="4" customWidth="1"/>
    <col min="3589" max="3840" width="0" style="4" hidden="1" customWidth="1"/>
    <col min="3841" max="3841" width="55.26953125" style="4" customWidth="1"/>
    <col min="3842" max="3842" width="31.26953125" style="4" customWidth="1"/>
    <col min="3843" max="3843" width="25.7265625" style="4" customWidth="1"/>
    <col min="3844" max="3844" width="3.26953125" style="4" customWidth="1"/>
    <col min="3845" max="4096" width="0" style="4" hidden="1" customWidth="1"/>
    <col min="4097" max="4097" width="55.26953125" style="4" customWidth="1"/>
    <col min="4098" max="4098" width="31.26953125" style="4" customWidth="1"/>
    <col min="4099" max="4099" width="25.7265625" style="4" customWidth="1"/>
    <col min="4100" max="4100" width="3.26953125" style="4" customWidth="1"/>
    <col min="4101" max="4352" width="0" style="4" hidden="1" customWidth="1"/>
    <col min="4353" max="4353" width="55.26953125" style="4" customWidth="1"/>
    <col min="4354" max="4354" width="31.26953125" style="4" customWidth="1"/>
    <col min="4355" max="4355" width="25.7265625" style="4" customWidth="1"/>
    <col min="4356" max="4356" width="3.26953125" style="4" customWidth="1"/>
    <col min="4357" max="4608" width="0" style="4" hidden="1" customWidth="1"/>
    <col min="4609" max="4609" width="55.26953125" style="4" customWidth="1"/>
    <col min="4610" max="4610" width="31.26953125" style="4" customWidth="1"/>
    <col min="4611" max="4611" width="25.7265625" style="4" customWidth="1"/>
    <col min="4612" max="4612" width="3.26953125" style="4" customWidth="1"/>
    <col min="4613" max="4864" width="0" style="4" hidden="1" customWidth="1"/>
    <col min="4865" max="4865" width="55.26953125" style="4" customWidth="1"/>
    <col min="4866" max="4866" width="31.26953125" style="4" customWidth="1"/>
    <col min="4867" max="4867" width="25.7265625" style="4" customWidth="1"/>
    <col min="4868" max="4868" width="3.26953125" style="4" customWidth="1"/>
    <col min="4869" max="5120" width="0" style="4" hidden="1" customWidth="1"/>
    <col min="5121" max="5121" width="55.26953125" style="4" customWidth="1"/>
    <col min="5122" max="5122" width="31.26953125" style="4" customWidth="1"/>
    <col min="5123" max="5123" width="25.7265625" style="4" customWidth="1"/>
    <col min="5124" max="5124" width="3.26953125" style="4" customWidth="1"/>
    <col min="5125" max="5376" width="0" style="4" hidden="1" customWidth="1"/>
    <col min="5377" max="5377" width="55.26953125" style="4" customWidth="1"/>
    <col min="5378" max="5378" width="31.26953125" style="4" customWidth="1"/>
    <col min="5379" max="5379" width="25.7265625" style="4" customWidth="1"/>
    <col min="5380" max="5380" width="3.26953125" style="4" customWidth="1"/>
    <col min="5381" max="5632" width="0" style="4" hidden="1" customWidth="1"/>
    <col min="5633" max="5633" width="55.26953125" style="4" customWidth="1"/>
    <col min="5634" max="5634" width="31.26953125" style="4" customWidth="1"/>
    <col min="5635" max="5635" width="25.7265625" style="4" customWidth="1"/>
    <col min="5636" max="5636" width="3.26953125" style="4" customWidth="1"/>
    <col min="5637" max="5888" width="0" style="4" hidden="1" customWidth="1"/>
    <col min="5889" max="5889" width="55.26953125" style="4" customWidth="1"/>
    <col min="5890" max="5890" width="31.26953125" style="4" customWidth="1"/>
    <col min="5891" max="5891" width="25.7265625" style="4" customWidth="1"/>
    <col min="5892" max="5892" width="3.26953125" style="4" customWidth="1"/>
    <col min="5893" max="6144" width="0" style="4" hidden="1" customWidth="1"/>
    <col min="6145" max="6145" width="55.26953125" style="4" customWidth="1"/>
    <col min="6146" max="6146" width="31.26953125" style="4" customWidth="1"/>
    <col min="6147" max="6147" width="25.7265625" style="4" customWidth="1"/>
    <col min="6148" max="6148" width="3.26953125" style="4" customWidth="1"/>
    <col min="6149" max="6400" width="0" style="4" hidden="1" customWidth="1"/>
    <col min="6401" max="6401" width="55.26953125" style="4" customWidth="1"/>
    <col min="6402" max="6402" width="31.26953125" style="4" customWidth="1"/>
    <col min="6403" max="6403" width="25.7265625" style="4" customWidth="1"/>
    <col min="6404" max="6404" width="3.26953125" style="4" customWidth="1"/>
    <col min="6405" max="6656" width="0" style="4" hidden="1" customWidth="1"/>
    <col min="6657" max="6657" width="55.26953125" style="4" customWidth="1"/>
    <col min="6658" max="6658" width="31.26953125" style="4" customWidth="1"/>
    <col min="6659" max="6659" width="25.7265625" style="4" customWidth="1"/>
    <col min="6660" max="6660" width="3.26953125" style="4" customWidth="1"/>
    <col min="6661" max="6912" width="0" style="4" hidden="1" customWidth="1"/>
    <col min="6913" max="6913" width="55.26953125" style="4" customWidth="1"/>
    <col min="6914" max="6914" width="31.26953125" style="4" customWidth="1"/>
    <col min="6915" max="6915" width="25.7265625" style="4" customWidth="1"/>
    <col min="6916" max="6916" width="3.26953125" style="4" customWidth="1"/>
    <col min="6917" max="7168" width="0" style="4" hidden="1" customWidth="1"/>
    <col min="7169" max="7169" width="55.26953125" style="4" customWidth="1"/>
    <col min="7170" max="7170" width="31.26953125" style="4" customWidth="1"/>
    <col min="7171" max="7171" width="25.7265625" style="4" customWidth="1"/>
    <col min="7172" max="7172" width="3.26953125" style="4" customWidth="1"/>
    <col min="7173" max="7424" width="0" style="4" hidden="1" customWidth="1"/>
    <col min="7425" max="7425" width="55.26953125" style="4" customWidth="1"/>
    <col min="7426" max="7426" width="31.26953125" style="4" customWidth="1"/>
    <col min="7427" max="7427" width="25.7265625" style="4" customWidth="1"/>
    <col min="7428" max="7428" width="3.26953125" style="4" customWidth="1"/>
    <col min="7429" max="7680" width="0" style="4" hidden="1" customWidth="1"/>
    <col min="7681" max="7681" width="55.26953125" style="4" customWidth="1"/>
    <col min="7682" max="7682" width="31.26953125" style="4" customWidth="1"/>
    <col min="7683" max="7683" width="25.7265625" style="4" customWidth="1"/>
    <col min="7684" max="7684" width="3.26953125" style="4" customWidth="1"/>
    <col min="7685" max="7936" width="0" style="4" hidden="1" customWidth="1"/>
    <col min="7937" max="7937" width="55.26953125" style="4" customWidth="1"/>
    <col min="7938" max="7938" width="31.26953125" style="4" customWidth="1"/>
    <col min="7939" max="7939" width="25.7265625" style="4" customWidth="1"/>
    <col min="7940" max="7940" width="3.26953125" style="4" customWidth="1"/>
    <col min="7941" max="8192" width="0" style="4" hidden="1" customWidth="1"/>
    <col min="8193" max="8193" width="55.26953125" style="4" customWidth="1"/>
    <col min="8194" max="8194" width="31.26953125" style="4" customWidth="1"/>
    <col min="8195" max="8195" width="25.7265625" style="4" customWidth="1"/>
    <col min="8196" max="8196" width="3.26953125" style="4" customWidth="1"/>
    <col min="8197" max="8448" width="0" style="4" hidden="1" customWidth="1"/>
    <col min="8449" max="8449" width="55.26953125" style="4" customWidth="1"/>
    <col min="8450" max="8450" width="31.26953125" style="4" customWidth="1"/>
    <col min="8451" max="8451" width="25.7265625" style="4" customWidth="1"/>
    <col min="8452" max="8452" width="3.26953125" style="4" customWidth="1"/>
    <col min="8453" max="8704" width="0" style="4" hidden="1" customWidth="1"/>
    <col min="8705" max="8705" width="55.26953125" style="4" customWidth="1"/>
    <col min="8706" max="8706" width="31.26953125" style="4" customWidth="1"/>
    <col min="8707" max="8707" width="25.7265625" style="4" customWidth="1"/>
    <col min="8708" max="8708" width="3.26953125" style="4" customWidth="1"/>
    <col min="8709" max="8960" width="0" style="4" hidden="1" customWidth="1"/>
    <col min="8961" max="8961" width="55.26953125" style="4" customWidth="1"/>
    <col min="8962" max="8962" width="31.26953125" style="4" customWidth="1"/>
    <col min="8963" max="8963" width="25.7265625" style="4" customWidth="1"/>
    <col min="8964" max="8964" width="3.26953125" style="4" customWidth="1"/>
    <col min="8965" max="9216" width="0" style="4" hidden="1" customWidth="1"/>
    <col min="9217" max="9217" width="55.26953125" style="4" customWidth="1"/>
    <col min="9218" max="9218" width="31.26953125" style="4" customWidth="1"/>
    <col min="9219" max="9219" width="25.7265625" style="4" customWidth="1"/>
    <col min="9220" max="9220" width="3.26953125" style="4" customWidth="1"/>
    <col min="9221" max="9472" width="0" style="4" hidden="1" customWidth="1"/>
    <col min="9473" max="9473" width="55.26953125" style="4" customWidth="1"/>
    <col min="9474" max="9474" width="31.26953125" style="4" customWidth="1"/>
    <col min="9475" max="9475" width="25.7265625" style="4" customWidth="1"/>
    <col min="9476" max="9476" width="3.26953125" style="4" customWidth="1"/>
    <col min="9477" max="9728" width="0" style="4" hidden="1" customWidth="1"/>
    <col min="9729" max="9729" width="55.26953125" style="4" customWidth="1"/>
    <col min="9730" max="9730" width="31.26953125" style="4" customWidth="1"/>
    <col min="9731" max="9731" width="25.7265625" style="4" customWidth="1"/>
    <col min="9732" max="9732" width="3.26953125" style="4" customWidth="1"/>
    <col min="9733" max="9984" width="0" style="4" hidden="1" customWidth="1"/>
    <col min="9985" max="9985" width="55.26953125" style="4" customWidth="1"/>
    <col min="9986" max="9986" width="31.26953125" style="4" customWidth="1"/>
    <col min="9987" max="9987" width="25.7265625" style="4" customWidth="1"/>
    <col min="9988" max="9988" width="3.26953125" style="4" customWidth="1"/>
    <col min="9989" max="10240" width="0" style="4" hidden="1" customWidth="1"/>
    <col min="10241" max="10241" width="55.26953125" style="4" customWidth="1"/>
    <col min="10242" max="10242" width="31.26953125" style="4" customWidth="1"/>
    <col min="10243" max="10243" width="25.7265625" style="4" customWidth="1"/>
    <col min="10244" max="10244" width="3.26953125" style="4" customWidth="1"/>
    <col min="10245" max="10496" width="0" style="4" hidden="1" customWidth="1"/>
    <col min="10497" max="10497" width="55.26953125" style="4" customWidth="1"/>
    <col min="10498" max="10498" width="31.26953125" style="4" customWidth="1"/>
    <col min="10499" max="10499" width="25.7265625" style="4" customWidth="1"/>
    <col min="10500" max="10500" width="3.26953125" style="4" customWidth="1"/>
    <col min="10501" max="10752" width="0" style="4" hidden="1" customWidth="1"/>
    <col min="10753" max="10753" width="55.26953125" style="4" customWidth="1"/>
    <col min="10754" max="10754" width="31.26953125" style="4" customWidth="1"/>
    <col min="10755" max="10755" width="25.7265625" style="4" customWidth="1"/>
    <col min="10756" max="10756" width="3.26953125" style="4" customWidth="1"/>
    <col min="10757" max="11008" width="0" style="4" hidden="1" customWidth="1"/>
    <col min="11009" max="11009" width="55.26953125" style="4" customWidth="1"/>
    <col min="11010" max="11010" width="31.26953125" style="4" customWidth="1"/>
    <col min="11011" max="11011" width="25.7265625" style="4" customWidth="1"/>
    <col min="11012" max="11012" width="3.26953125" style="4" customWidth="1"/>
    <col min="11013" max="11264" width="0" style="4" hidden="1" customWidth="1"/>
    <col min="11265" max="11265" width="55.26953125" style="4" customWidth="1"/>
    <col min="11266" max="11266" width="31.26953125" style="4" customWidth="1"/>
    <col min="11267" max="11267" width="25.7265625" style="4" customWidth="1"/>
    <col min="11268" max="11268" width="3.26953125" style="4" customWidth="1"/>
    <col min="11269" max="11520" width="0" style="4" hidden="1" customWidth="1"/>
    <col min="11521" max="11521" width="55.26953125" style="4" customWidth="1"/>
    <col min="11522" max="11522" width="31.26953125" style="4" customWidth="1"/>
    <col min="11523" max="11523" width="25.7265625" style="4" customWidth="1"/>
    <col min="11524" max="11524" width="3.26953125" style="4" customWidth="1"/>
    <col min="11525" max="11776" width="0" style="4" hidden="1" customWidth="1"/>
    <col min="11777" max="11777" width="55.26953125" style="4" customWidth="1"/>
    <col min="11778" max="11778" width="31.26953125" style="4" customWidth="1"/>
    <col min="11779" max="11779" width="25.7265625" style="4" customWidth="1"/>
    <col min="11780" max="11780" width="3.26953125" style="4" customWidth="1"/>
    <col min="11781" max="12032" width="0" style="4" hidden="1" customWidth="1"/>
    <col min="12033" max="12033" width="55.26953125" style="4" customWidth="1"/>
    <col min="12034" max="12034" width="31.26953125" style="4" customWidth="1"/>
    <col min="12035" max="12035" width="25.7265625" style="4" customWidth="1"/>
    <col min="12036" max="12036" width="3.26953125" style="4" customWidth="1"/>
    <col min="12037" max="12288" width="0" style="4" hidden="1" customWidth="1"/>
    <col min="12289" max="12289" width="55.26953125" style="4" customWidth="1"/>
    <col min="12290" max="12290" width="31.26953125" style="4" customWidth="1"/>
    <col min="12291" max="12291" width="25.7265625" style="4" customWidth="1"/>
    <col min="12292" max="12292" width="3.26953125" style="4" customWidth="1"/>
    <col min="12293" max="12544" width="0" style="4" hidden="1" customWidth="1"/>
    <col min="12545" max="12545" width="55.26953125" style="4" customWidth="1"/>
    <col min="12546" max="12546" width="31.26953125" style="4" customWidth="1"/>
    <col min="12547" max="12547" width="25.7265625" style="4" customWidth="1"/>
    <col min="12548" max="12548" width="3.26953125" style="4" customWidth="1"/>
    <col min="12549" max="12800" width="0" style="4" hidden="1" customWidth="1"/>
    <col min="12801" max="12801" width="55.26953125" style="4" customWidth="1"/>
    <col min="12802" max="12802" width="31.26953125" style="4" customWidth="1"/>
    <col min="12803" max="12803" width="25.7265625" style="4" customWidth="1"/>
    <col min="12804" max="12804" width="3.26953125" style="4" customWidth="1"/>
    <col min="12805" max="13056" width="0" style="4" hidden="1" customWidth="1"/>
    <col min="13057" max="13057" width="55.26953125" style="4" customWidth="1"/>
    <col min="13058" max="13058" width="31.26953125" style="4" customWidth="1"/>
    <col min="13059" max="13059" width="25.7265625" style="4" customWidth="1"/>
    <col min="13060" max="13060" width="3.26953125" style="4" customWidth="1"/>
    <col min="13061" max="13312" width="0" style="4" hidden="1" customWidth="1"/>
    <col min="13313" max="13313" width="55.26953125" style="4" customWidth="1"/>
    <col min="13314" max="13314" width="31.26953125" style="4" customWidth="1"/>
    <col min="13315" max="13315" width="25.7265625" style="4" customWidth="1"/>
    <col min="13316" max="13316" width="3.26953125" style="4" customWidth="1"/>
    <col min="13317" max="13568" width="0" style="4" hidden="1" customWidth="1"/>
    <col min="13569" max="13569" width="55.26953125" style="4" customWidth="1"/>
    <col min="13570" max="13570" width="31.26953125" style="4" customWidth="1"/>
    <col min="13571" max="13571" width="25.7265625" style="4" customWidth="1"/>
    <col min="13572" max="13572" width="3.26953125" style="4" customWidth="1"/>
    <col min="13573" max="13824" width="0" style="4" hidden="1" customWidth="1"/>
    <col min="13825" max="13825" width="55.26953125" style="4" customWidth="1"/>
    <col min="13826" max="13826" width="31.26953125" style="4" customWidth="1"/>
    <col min="13827" max="13827" width="25.7265625" style="4" customWidth="1"/>
    <col min="13828" max="13828" width="3.26953125" style="4" customWidth="1"/>
    <col min="13829" max="14080" width="0" style="4" hidden="1" customWidth="1"/>
    <col min="14081" max="14081" width="55.26953125" style="4" customWidth="1"/>
    <col min="14082" max="14082" width="31.26953125" style="4" customWidth="1"/>
    <col min="14083" max="14083" width="25.7265625" style="4" customWidth="1"/>
    <col min="14084" max="14084" width="3.26953125" style="4" customWidth="1"/>
    <col min="14085" max="14336" width="0" style="4" hidden="1" customWidth="1"/>
    <col min="14337" max="14337" width="55.26953125" style="4" customWidth="1"/>
    <col min="14338" max="14338" width="31.26953125" style="4" customWidth="1"/>
    <col min="14339" max="14339" width="25.7265625" style="4" customWidth="1"/>
    <col min="14340" max="14340" width="3.26953125" style="4" customWidth="1"/>
    <col min="14341" max="14592" width="0" style="4" hidden="1" customWidth="1"/>
    <col min="14593" max="14593" width="55.26953125" style="4" customWidth="1"/>
    <col min="14594" max="14594" width="31.26953125" style="4" customWidth="1"/>
    <col min="14595" max="14595" width="25.7265625" style="4" customWidth="1"/>
    <col min="14596" max="14596" width="3.26953125" style="4" customWidth="1"/>
    <col min="14597" max="14848" width="0" style="4" hidden="1" customWidth="1"/>
    <col min="14849" max="14849" width="55.26953125" style="4" customWidth="1"/>
    <col min="14850" max="14850" width="31.26953125" style="4" customWidth="1"/>
    <col min="14851" max="14851" width="25.7265625" style="4" customWidth="1"/>
    <col min="14852" max="14852" width="3.26953125" style="4" customWidth="1"/>
    <col min="14853" max="15104" width="0" style="4" hidden="1" customWidth="1"/>
    <col min="15105" max="15105" width="55.26953125" style="4" customWidth="1"/>
    <col min="15106" max="15106" width="31.26953125" style="4" customWidth="1"/>
    <col min="15107" max="15107" width="25.7265625" style="4" customWidth="1"/>
    <col min="15108" max="15108" width="3.26953125" style="4" customWidth="1"/>
    <col min="15109" max="15360" width="0" style="4" hidden="1" customWidth="1"/>
    <col min="15361" max="15361" width="55.26953125" style="4" customWidth="1"/>
    <col min="15362" max="15362" width="31.26953125" style="4" customWidth="1"/>
    <col min="15363" max="15363" width="25.7265625" style="4" customWidth="1"/>
    <col min="15364" max="15364" width="3.26953125" style="4" customWidth="1"/>
    <col min="15365" max="15616" width="0" style="4" hidden="1" customWidth="1"/>
    <col min="15617" max="15617" width="55.26953125" style="4" customWidth="1"/>
    <col min="15618" max="15618" width="31.26953125" style="4" customWidth="1"/>
    <col min="15619" max="15619" width="25.7265625" style="4" customWidth="1"/>
    <col min="15620" max="15620" width="3.26953125" style="4" customWidth="1"/>
    <col min="15621" max="15872" width="0" style="4" hidden="1" customWidth="1"/>
    <col min="15873" max="15873" width="55.26953125" style="4" customWidth="1"/>
    <col min="15874" max="15874" width="31.26953125" style="4" customWidth="1"/>
    <col min="15875" max="15875" width="25.7265625" style="4" customWidth="1"/>
    <col min="15876" max="15876" width="3.26953125" style="4" customWidth="1"/>
    <col min="15877" max="16128" width="0" style="4" hidden="1" customWidth="1"/>
    <col min="16129" max="16129" width="55.26953125" style="4" customWidth="1"/>
    <col min="16130" max="16130" width="31.26953125" style="4" customWidth="1"/>
    <col min="16131" max="16131" width="25.7265625" style="4" customWidth="1"/>
    <col min="16132" max="16132" width="3.26953125" style="4" customWidth="1"/>
    <col min="16133" max="16384" width="0" style="4" hidden="1" customWidth="1"/>
  </cols>
  <sheetData>
    <row r="1" spans="1:16" ht="14.5" x14ac:dyDescent="0.35">
      <c r="A1" s="59"/>
      <c r="B1" s="60"/>
      <c r="C1" s="61"/>
      <c r="D1" s="1"/>
      <c r="E1" s="2"/>
      <c r="F1" s="3" t="s">
        <v>0</v>
      </c>
      <c r="G1" s="2" t="s">
        <v>1</v>
      </c>
      <c r="H1" s="2" t="s">
        <v>2</v>
      </c>
      <c r="I1" s="2" t="s">
        <v>3</v>
      </c>
      <c r="J1" s="2" t="s">
        <v>4</v>
      </c>
      <c r="K1" s="2"/>
      <c r="L1" s="2"/>
      <c r="M1" s="2"/>
      <c r="N1" s="2"/>
      <c r="O1" s="2"/>
      <c r="P1" s="2"/>
    </row>
    <row r="2" spans="1:16" ht="15.5" x14ac:dyDescent="0.35">
      <c r="A2" s="62"/>
      <c r="B2" s="63"/>
      <c r="C2" s="64"/>
      <c r="D2" s="5"/>
      <c r="E2" s="2"/>
      <c r="F2" s="3" t="s">
        <v>5</v>
      </c>
      <c r="G2" s="2" t="s">
        <v>6</v>
      </c>
      <c r="H2" s="2" t="s">
        <v>7</v>
      </c>
      <c r="I2" s="2" t="s">
        <v>8</v>
      </c>
      <c r="J2" s="2" t="s">
        <v>9</v>
      </c>
      <c r="K2" s="2"/>
      <c r="L2" s="2"/>
      <c r="M2" s="2"/>
      <c r="N2" s="2"/>
      <c r="O2" s="2"/>
      <c r="P2" s="2"/>
    </row>
    <row r="3" spans="1:16" ht="20" x14ac:dyDescent="0.4">
      <c r="A3" s="65" t="s">
        <v>10</v>
      </c>
      <c r="B3" s="66"/>
      <c r="C3" s="67"/>
      <c r="D3" s="6"/>
      <c r="E3" s="2"/>
      <c r="F3" s="2"/>
      <c r="G3" s="2" t="s">
        <v>11</v>
      </c>
      <c r="H3" s="2" t="s">
        <v>12</v>
      </c>
      <c r="I3" s="2"/>
      <c r="J3" s="2" t="s">
        <v>13</v>
      </c>
      <c r="K3" s="2"/>
      <c r="L3" s="2"/>
      <c r="M3" s="2"/>
      <c r="N3" s="2"/>
      <c r="O3" s="2"/>
      <c r="P3" s="2"/>
    </row>
    <row r="4" spans="1:16" ht="13" x14ac:dyDescent="0.3">
      <c r="A4" s="7" t="s">
        <v>14</v>
      </c>
      <c r="B4" s="45">
        <f ca="1">TODAY()</f>
        <v>46122</v>
      </c>
      <c r="C4" s="8"/>
      <c r="D4" s="1"/>
      <c r="E4" s="2"/>
      <c r="F4" s="2"/>
      <c r="G4" s="2"/>
      <c r="H4" s="2"/>
      <c r="I4" s="2"/>
      <c r="J4" s="2" t="s">
        <v>15</v>
      </c>
      <c r="K4" s="2"/>
      <c r="L4" s="2"/>
      <c r="M4" s="2"/>
      <c r="N4" s="2"/>
      <c r="O4" s="2"/>
      <c r="P4" s="2"/>
    </row>
    <row r="5" spans="1:16" ht="12.5" x14ac:dyDescent="0.25">
      <c r="A5" s="7" t="s">
        <v>16</v>
      </c>
      <c r="B5" s="46" t="s">
        <v>1</v>
      </c>
      <c r="C5" s="9" t="str">
        <f>IF(OR(B5=G2,B5=G3),"Número de Póliza","")</f>
        <v/>
      </c>
      <c r="E5" s="2"/>
      <c r="F5" s="2"/>
      <c r="G5" s="2"/>
      <c r="H5" s="2"/>
      <c r="I5" s="2"/>
      <c r="J5" s="2" t="s">
        <v>17</v>
      </c>
      <c r="K5" s="2"/>
      <c r="L5" s="2"/>
      <c r="M5" s="2"/>
      <c r="N5" s="2"/>
      <c r="O5" s="2"/>
      <c r="P5" s="2"/>
    </row>
    <row r="6" spans="1:16" ht="13" x14ac:dyDescent="0.3">
      <c r="A6" s="7" t="s">
        <v>18</v>
      </c>
      <c r="B6" s="46" t="s">
        <v>7</v>
      </c>
      <c r="C6" s="10"/>
      <c r="D6" s="1"/>
      <c r="E6" s="2"/>
      <c r="F6" s="2"/>
      <c r="G6" s="2"/>
      <c r="H6" s="2"/>
      <c r="I6" s="2"/>
      <c r="J6" s="2" t="s">
        <v>19</v>
      </c>
      <c r="K6" s="2"/>
      <c r="L6" s="2"/>
      <c r="M6" s="2"/>
      <c r="N6" s="2"/>
      <c r="O6" s="2"/>
      <c r="P6" s="2"/>
    </row>
    <row r="7" spans="1:16" ht="13" x14ac:dyDescent="0.3">
      <c r="A7" s="11"/>
      <c r="B7" s="12"/>
      <c r="C7" s="9"/>
      <c r="D7" s="1"/>
      <c r="E7" s="2"/>
      <c r="F7" s="2"/>
      <c r="G7" s="2"/>
      <c r="H7" s="2"/>
      <c r="I7" s="2"/>
      <c r="J7" s="2" t="s">
        <v>20</v>
      </c>
      <c r="K7" s="2"/>
      <c r="L7" s="2"/>
      <c r="M7" s="2"/>
      <c r="N7" s="2"/>
      <c r="O7" s="2"/>
      <c r="P7" s="2"/>
    </row>
    <row r="8" spans="1:16" ht="13" x14ac:dyDescent="0.3">
      <c r="A8" s="13" t="s">
        <v>21</v>
      </c>
      <c r="B8" s="12"/>
      <c r="C8" s="9"/>
      <c r="D8" s="1"/>
      <c r="E8" s="2"/>
      <c r="F8" s="2"/>
      <c r="G8" s="2"/>
      <c r="H8" s="2"/>
      <c r="I8" s="2"/>
      <c r="J8" s="2"/>
      <c r="K8" s="2"/>
      <c r="L8" s="2"/>
      <c r="M8" s="2"/>
      <c r="N8" s="2"/>
      <c r="O8" s="2"/>
      <c r="P8" s="2"/>
    </row>
    <row r="9" spans="1:16" ht="13" x14ac:dyDescent="0.3">
      <c r="A9" s="11"/>
      <c r="B9" s="12"/>
      <c r="C9" s="9"/>
      <c r="D9" s="1"/>
      <c r="E9" s="2"/>
      <c r="F9" s="2"/>
      <c r="G9" s="2"/>
      <c r="H9" s="2"/>
      <c r="I9" s="2"/>
      <c r="J9" s="2"/>
      <c r="K9" s="2"/>
      <c r="L9" s="2"/>
      <c r="M9" s="2"/>
      <c r="N9" s="2"/>
      <c r="O9" s="2"/>
      <c r="P9" s="2"/>
    </row>
    <row r="10" spans="1:16" ht="64.5" customHeight="1" x14ac:dyDescent="0.3">
      <c r="A10" s="7" t="s">
        <v>22</v>
      </c>
      <c r="B10" s="44" t="s">
        <v>97</v>
      </c>
      <c r="C10" s="9"/>
      <c r="D10" s="1"/>
      <c r="E10" s="2"/>
      <c r="F10" s="2"/>
      <c r="G10" s="2"/>
      <c r="H10" s="2"/>
      <c r="I10" s="2"/>
      <c r="J10" s="2"/>
      <c r="K10" s="2"/>
      <c r="L10" s="2"/>
      <c r="M10" s="2"/>
      <c r="N10" s="2"/>
      <c r="O10" s="2"/>
      <c r="P10" s="2"/>
    </row>
    <row r="11" spans="1:16" ht="23" x14ac:dyDescent="0.3">
      <c r="A11" s="14" t="s">
        <v>23</v>
      </c>
      <c r="B11" s="47">
        <v>8909268031</v>
      </c>
      <c r="C11" s="9"/>
      <c r="D11" s="1"/>
    </row>
    <row r="12" spans="1:16" ht="64.5" customHeight="1" x14ac:dyDescent="0.3">
      <c r="A12" s="7" t="s">
        <v>24</v>
      </c>
      <c r="B12" s="44" t="s">
        <v>98</v>
      </c>
      <c r="C12" s="9"/>
      <c r="D12" s="1"/>
    </row>
    <row r="13" spans="1:16" ht="64.5" customHeight="1" x14ac:dyDescent="0.3">
      <c r="A13" s="14" t="s">
        <v>25</v>
      </c>
      <c r="B13" s="44" t="s">
        <v>26</v>
      </c>
      <c r="C13" s="9"/>
      <c r="D13" s="1"/>
    </row>
    <row r="14" spans="1:16" ht="13" x14ac:dyDescent="0.3">
      <c r="A14" s="15"/>
      <c r="B14" s="12"/>
      <c r="C14" s="9"/>
      <c r="D14" s="1"/>
    </row>
    <row r="15" spans="1:16" ht="13" x14ac:dyDescent="0.3">
      <c r="A15" s="13" t="s">
        <v>27</v>
      </c>
      <c r="B15" s="12"/>
      <c r="C15" s="9"/>
      <c r="D15" s="1"/>
    </row>
    <row r="16" spans="1:16" ht="13" x14ac:dyDescent="0.3">
      <c r="A16" s="15"/>
      <c r="B16" s="12"/>
      <c r="C16" s="9"/>
      <c r="D16" s="1"/>
    </row>
    <row r="17" spans="1:4" ht="64.5" customHeight="1" x14ac:dyDescent="0.25">
      <c r="A17" s="7" t="s">
        <v>28</v>
      </c>
      <c r="B17" s="44" t="s">
        <v>29</v>
      </c>
      <c r="C17" s="9"/>
      <c r="D17" s="16"/>
    </row>
    <row r="18" spans="1:4" ht="12.5" x14ac:dyDescent="0.25">
      <c r="A18" s="7" t="s">
        <v>30</v>
      </c>
      <c r="B18" s="44" t="s">
        <v>29</v>
      </c>
      <c r="C18" s="17" t="str">
        <f>IF(B18="EMPLEADOS","mediante contrato de trabajo",IF(B18="asociados","como asociados",IF(B18="Socios","como socios",IF(B18="Deudores","como deudoras ","OJO"))))</f>
        <v>mediante contrato de trabajo</v>
      </c>
    </row>
    <row r="19" spans="1:4" ht="12.5" x14ac:dyDescent="0.25">
      <c r="A19" s="7" t="s">
        <v>31</v>
      </c>
      <c r="B19" s="44" t="s">
        <v>0</v>
      </c>
      <c r="C19" s="9"/>
    </row>
    <row r="20" spans="1:4" ht="64.5" customHeight="1" x14ac:dyDescent="0.25">
      <c r="A20" s="18" t="s">
        <v>32</v>
      </c>
      <c r="B20" s="44" t="s">
        <v>26</v>
      </c>
      <c r="C20" s="9"/>
    </row>
    <row r="21" spans="1:4" ht="64.5" customHeight="1" x14ac:dyDescent="0.25">
      <c r="A21" s="7" t="s">
        <v>33</v>
      </c>
      <c r="B21" s="44">
        <v>25</v>
      </c>
      <c r="C21" s="9" t="str">
        <f>IF(B21&lt;20,"El minimo permitido para cotizar es de 20 Personas","")</f>
        <v/>
      </c>
    </row>
    <row r="22" spans="1:4" ht="12.5" x14ac:dyDescent="0.25">
      <c r="A22" s="7" t="s">
        <v>34</v>
      </c>
      <c r="B22" s="44">
        <v>46</v>
      </c>
      <c r="C22" s="9"/>
    </row>
    <row r="23" spans="1:4" ht="12.5" x14ac:dyDescent="0.25">
      <c r="A23" s="19" t="s">
        <v>35</v>
      </c>
      <c r="B23" s="44">
        <v>64</v>
      </c>
      <c r="C23" s="9"/>
    </row>
    <row r="24" spans="1:4" ht="13" x14ac:dyDescent="0.3">
      <c r="A24" s="15"/>
      <c r="B24" s="12"/>
      <c r="C24" s="9"/>
      <c r="D24" s="1"/>
    </row>
    <row r="25" spans="1:4" ht="13" x14ac:dyDescent="0.3">
      <c r="A25" s="13" t="s">
        <v>36</v>
      </c>
      <c r="B25" s="45">
        <v>46173</v>
      </c>
      <c r="C25" s="9"/>
      <c r="D25" s="1"/>
    </row>
    <row r="26" spans="1:4" ht="13" x14ac:dyDescent="0.3">
      <c r="A26" s="13" t="s">
        <v>37</v>
      </c>
      <c r="B26" s="45">
        <v>46538</v>
      </c>
      <c r="C26" s="9"/>
      <c r="D26" s="1"/>
    </row>
    <row r="27" spans="1:4" ht="13" x14ac:dyDescent="0.3">
      <c r="A27" s="15"/>
      <c r="B27" s="12"/>
      <c r="C27" s="9"/>
      <c r="D27" s="1"/>
    </row>
    <row r="28" spans="1:4" ht="13" x14ac:dyDescent="0.3">
      <c r="A28" s="13" t="s">
        <v>38</v>
      </c>
      <c r="B28" s="12"/>
      <c r="C28" s="9"/>
      <c r="D28" s="1"/>
    </row>
    <row r="29" spans="1:4" ht="13" x14ac:dyDescent="0.3">
      <c r="A29" s="15"/>
      <c r="B29" s="12"/>
      <c r="C29" s="9"/>
      <c r="D29" s="1"/>
    </row>
    <row r="30" spans="1:4" ht="13" x14ac:dyDescent="0.3">
      <c r="A30" s="7" t="s">
        <v>39</v>
      </c>
      <c r="B30" s="44" t="s">
        <v>94</v>
      </c>
      <c r="C30" s="9"/>
      <c r="D30" s="1"/>
    </row>
    <row r="31" spans="1:4" ht="13" x14ac:dyDescent="0.3">
      <c r="A31" s="7" t="s">
        <v>40</v>
      </c>
      <c r="B31" s="44">
        <v>1064078</v>
      </c>
      <c r="C31" s="9"/>
      <c r="D31" s="1"/>
    </row>
    <row r="32" spans="1:4" ht="13" x14ac:dyDescent="0.3">
      <c r="A32" s="7" t="s">
        <v>41</v>
      </c>
      <c r="B32" s="44" t="s">
        <v>93</v>
      </c>
      <c r="C32" s="9"/>
      <c r="D32" s="1"/>
    </row>
    <row r="33" spans="1:4" ht="13" x14ac:dyDescent="0.3">
      <c r="A33" s="7" t="s">
        <v>42</v>
      </c>
      <c r="B33" s="48">
        <v>1</v>
      </c>
      <c r="C33" s="9"/>
      <c r="D33" s="1"/>
    </row>
    <row r="34" spans="1:4" ht="64.5" customHeight="1" x14ac:dyDescent="0.3">
      <c r="A34" s="7" t="s">
        <v>43</v>
      </c>
      <c r="B34" s="49">
        <v>0.2</v>
      </c>
      <c r="C34" s="9" t="str">
        <f>IF(B34&gt;25%,"Máxima comisión que se otorga es de 25%","")</f>
        <v/>
      </c>
      <c r="D34" s="1"/>
    </row>
    <row r="35" spans="1:4" ht="13" x14ac:dyDescent="0.3">
      <c r="A35" s="15"/>
      <c r="B35" s="12"/>
      <c r="C35" s="9"/>
      <c r="D35" s="1"/>
    </row>
    <row r="36" spans="1:4" ht="13" x14ac:dyDescent="0.3">
      <c r="A36" s="13" t="s">
        <v>44</v>
      </c>
      <c r="B36" s="12"/>
      <c r="C36" s="9"/>
      <c r="D36" s="1"/>
    </row>
    <row r="37" spans="1:4" ht="14" x14ac:dyDescent="0.3">
      <c r="A37" s="20"/>
      <c r="B37" s="12"/>
      <c r="C37" s="9"/>
      <c r="D37" s="1"/>
    </row>
    <row r="38" spans="1:4" ht="64.5" customHeight="1" x14ac:dyDescent="0.25">
      <c r="A38" s="7" t="s">
        <v>45</v>
      </c>
      <c r="B38" s="50" t="s">
        <v>19</v>
      </c>
      <c r="C38" s="9" t="str">
        <f>IF(AND(OR(B6=H1,B6=H2),OR(B38=J1,B38=J2)),"LA CLASE DE POLIZA DEBE SER DEUDORES, POR FAVOR REVISAR",IF(AND(B6=H3,OR(B38=J3,B38=J4,B38=J5,B38=J6,B38=J7)),"LA CLASE DE POLIZA DEBE SER DIFERENTE A DEUDORES, POR FAVOR REVISAR",""))</f>
        <v/>
      </c>
    </row>
    <row r="39" spans="1:4" ht="64.5" customHeight="1" x14ac:dyDescent="0.25">
      <c r="A39" s="14" t="s">
        <v>46</v>
      </c>
      <c r="B39" s="51">
        <f>B49</f>
        <v>243101250</v>
      </c>
      <c r="C39" s="9" t="str">
        <f>IF(B39&gt;3000000000,"Supera el máximo valor asegurado individual. Solicitar seguro facultativo al especilista del ramo","")</f>
        <v/>
      </c>
    </row>
    <row r="40" spans="1:4" ht="64.5" customHeight="1" x14ac:dyDescent="0.25">
      <c r="A40" s="14" t="s">
        <v>47</v>
      </c>
      <c r="B40" s="51"/>
      <c r="C40" s="9" t="str">
        <f>IF(AND(B40&gt;10000000000,B58="Contratada"),"Póliza debe incluir la Clausula de (L.A.R). Máx. 30% del valor asegurado del grupo más expuesto y Máx. ($20.000.000.000).","")</f>
        <v/>
      </c>
    </row>
    <row r="41" spans="1:4" ht="12.5" x14ac:dyDescent="0.25">
      <c r="A41" s="21" t="s">
        <v>48</v>
      </c>
      <c r="B41" s="22"/>
      <c r="C41" s="9"/>
    </row>
    <row r="42" spans="1:4" ht="14" x14ac:dyDescent="0.3">
      <c r="A42" s="20" t="s">
        <v>49</v>
      </c>
      <c r="B42" s="52">
        <v>18232593.75</v>
      </c>
      <c r="C42" s="9"/>
    </row>
    <row r="43" spans="1:4" ht="14" x14ac:dyDescent="0.3">
      <c r="A43" s="20" t="s">
        <v>50</v>
      </c>
      <c r="B43" s="52">
        <v>24310125</v>
      </c>
      <c r="C43" s="9"/>
    </row>
    <row r="44" spans="1:4" ht="14" x14ac:dyDescent="0.3">
      <c r="A44" s="20" t="s">
        <v>51</v>
      </c>
      <c r="B44" s="52">
        <v>48620250</v>
      </c>
      <c r="C44" s="9"/>
    </row>
    <row r="45" spans="1:4" ht="14" x14ac:dyDescent="0.3">
      <c r="A45" s="20" t="s">
        <v>52</v>
      </c>
      <c r="B45" s="52">
        <v>60775312.5</v>
      </c>
      <c r="C45" s="9"/>
    </row>
    <row r="46" spans="1:4" ht="14" x14ac:dyDescent="0.3">
      <c r="A46" s="20" t="s">
        <v>53</v>
      </c>
      <c r="B46" s="52">
        <v>85085437.5</v>
      </c>
      <c r="C46" s="9"/>
    </row>
    <row r="47" spans="1:4" ht="14" x14ac:dyDescent="0.3">
      <c r="A47" s="20" t="s">
        <v>54</v>
      </c>
      <c r="B47" s="52">
        <v>121550625</v>
      </c>
      <c r="C47" s="9"/>
    </row>
    <row r="48" spans="1:4" ht="14" x14ac:dyDescent="0.3">
      <c r="A48" s="20" t="s">
        <v>55</v>
      </c>
      <c r="B48" s="52">
        <v>182325937.5</v>
      </c>
      <c r="C48" s="9"/>
    </row>
    <row r="49" spans="1:4" ht="14" x14ac:dyDescent="0.3">
      <c r="A49" s="20" t="s">
        <v>56</v>
      </c>
      <c r="B49" s="52">
        <v>243101250</v>
      </c>
      <c r="C49" s="9"/>
    </row>
    <row r="50" spans="1:4" ht="14" x14ac:dyDescent="0.3">
      <c r="A50" s="20" t="s">
        <v>57</v>
      </c>
      <c r="B50" s="52">
        <v>0</v>
      </c>
      <c r="C50" s="9"/>
    </row>
    <row r="51" spans="1:4" ht="14" x14ac:dyDescent="0.3">
      <c r="A51" s="20" t="s">
        <v>58</v>
      </c>
      <c r="B51" s="52">
        <v>0</v>
      </c>
      <c r="C51" s="9"/>
      <c r="D51" s="1"/>
    </row>
    <row r="52" spans="1:4" ht="13" x14ac:dyDescent="0.3">
      <c r="A52" s="13"/>
      <c r="B52" s="12"/>
      <c r="C52" s="9"/>
      <c r="D52" s="1"/>
    </row>
    <row r="53" spans="1:4" ht="13" x14ac:dyDescent="0.3">
      <c r="A53" s="7" t="s">
        <v>59</v>
      </c>
      <c r="B53" s="53"/>
      <c r="C53" s="23"/>
      <c r="D53" s="1"/>
    </row>
    <row r="54" spans="1:4" ht="13" x14ac:dyDescent="0.3">
      <c r="A54" s="13"/>
      <c r="B54" s="12"/>
      <c r="C54" s="9"/>
      <c r="D54" s="1"/>
    </row>
    <row r="55" spans="1:4" ht="13" x14ac:dyDescent="0.3">
      <c r="A55" s="13" t="s">
        <v>60</v>
      </c>
      <c r="B55" s="24"/>
      <c r="C55" s="9"/>
      <c r="D55" s="1"/>
    </row>
    <row r="56" spans="1:4" ht="13" x14ac:dyDescent="0.3">
      <c r="A56" s="25" t="s">
        <v>61</v>
      </c>
      <c r="B56" s="54" t="s">
        <v>3</v>
      </c>
      <c r="C56" s="9"/>
      <c r="D56" s="1"/>
    </row>
    <row r="57" spans="1:4" ht="13" x14ac:dyDescent="0.3">
      <c r="A57" s="25" t="s">
        <v>62</v>
      </c>
      <c r="B57" s="54" t="s">
        <v>3</v>
      </c>
      <c r="C57" s="9"/>
      <c r="D57" s="1"/>
    </row>
    <row r="58" spans="1:4" ht="13" x14ac:dyDescent="0.3">
      <c r="A58" s="25" t="s">
        <v>63</v>
      </c>
      <c r="B58" s="54" t="s">
        <v>3</v>
      </c>
      <c r="C58" s="9"/>
      <c r="D58" s="1"/>
    </row>
    <row r="59" spans="1:4" ht="13" x14ac:dyDescent="0.3">
      <c r="A59" s="25" t="s">
        <v>64</v>
      </c>
      <c r="B59" s="54" t="s">
        <v>3</v>
      </c>
      <c r="C59" s="9"/>
      <c r="D59" s="1"/>
    </row>
    <row r="60" spans="1:4" ht="13" x14ac:dyDescent="0.3">
      <c r="A60" s="25" t="s">
        <v>65</v>
      </c>
      <c r="B60" s="54" t="s">
        <v>3</v>
      </c>
      <c r="C60" s="9"/>
      <c r="D60" s="1"/>
    </row>
    <row r="61" spans="1:4" ht="13" x14ac:dyDescent="0.3">
      <c r="A61" s="25" t="s">
        <v>66</v>
      </c>
      <c r="B61" s="54" t="s">
        <v>3</v>
      </c>
      <c r="C61" s="9"/>
      <c r="D61" s="1"/>
    </row>
    <row r="62" spans="1:4" ht="13" x14ac:dyDescent="0.3">
      <c r="A62" s="25" t="s">
        <v>67</v>
      </c>
      <c r="B62" s="54" t="s">
        <v>3</v>
      </c>
      <c r="C62" s="9"/>
      <c r="D62" s="1"/>
    </row>
    <row r="63" spans="1:4" ht="13" x14ac:dyDescent="0.3">
      <c r="A63" s="25" t="s">
        <v>68</v>
      </c>
      <c r="B63" s="54" t="s">
        <v>3</v>
      </c>
      <c r="C63" s="9"/>
      <c r="D63" s="1"/>
    </row>
    <row r="64" spans="1:4" ht="13" x14ac:dyDescent="0.3">
      <c r="A64" s="26" t="s">
        <v>69</v>
      </c>
      <c r="B64" s="54" t="s">
        <v>3</v>
      </c>
      <c r="C64" s="9"/>
      <c r="D64" s="1"/>
    </row>
    <row r="65" spans="1:4" ht="13" x14ac:dyDescent="0.3">
      <c r="A65" s="13"/>
      <c r="B65" s="12"/>
      <c r="C65" s="9"/>
      <c r="D65" s="1"/>
    </row>
    <row r="66" spans="1:4" ht="13" x14ac:dyDescent="0.3">
      <c r="A66" s="13" t="s">
        <v>70</v>
      </c>
      <c r="B66" s="24"/>
      <c r="C66" s="9"/>
      <c r="D66" s="1"/>
    </row>
    <row r="67" spans="1:4" ht="13" x14ac:dyDescent="0.3">
      <c r="A67" s="25" t="s">
        <v>71</v>
      </c>
      <c r="B67" s="54" t="s">
        <v>3</v>
      </c>
      <c r="C67" s="9"/>
      <c r="D67" s="1"/>
    </row>
    <row r="68" spans="1:4" ht="13" x14ac:dyDescent="0.3">
      <c r="A68" s="25" t="s">
        <v>72</v>
      </c>
      <c r="B68" s="54" t="s">
        <v>3</v>
      </c>
      <c r="C68" s="9"/>
      <c r="D68" s="1"/>
    </row>
    <row r="69" spans="1:4" ht="13" x14ac:dyDescent="0.3">
      <c r="A69" s="25" t="s">
        <v>73</v>
      </c>
      <c r="B69" s="54" t="s">
        <v>8</v>
      </c>
      <c r="C69" s="9"/>
      <c r="D69" s="1"/>
    </row>
    <row r="70" spans="1:4" ht="13" x14ac:dyDescent="0.3">
      <c r="A70" s="25" t="s">
        <v>74</v>
      </c>
      <c r="B70" s="54" t="s">
        <v>8</v>
      </c>
      <c r="C70" s="9"/>
      <c r="D70" s="1"/>
    </row>
    <row r="71" spans="1:4" ht="13" x14ac:dyDescent="0.3">
      <c r="A71" s="25" t="s">
        <v>75</v>
      </c>
      <c r="B71" s="54" t="s">
        <v>8</v>
      </c>
      <c r="C71" s="9"/>
      <c r="D71" s="1"/>
    </row>
    <row r="72" spans="1:4" ht="13" x14ac:dyDescent="0.3">
      <c r="A72" s="26" t="s">
        <v>76</v>
      </c>
      <c r="B72" s="54" t="s">
        <v>8</v>
      </c>
      <c r="C72" s="9"/>
      <c r="D72" s="1"/>
    </row>
    <row r="73" spans="1:4" ht="13.5" customHeight="1" x14ac:dyDescent="0.3">
      <c r="A73" s="13"/>
      <c r="B73" s="12"/>
      <c r="C73" s="9"/>
      <c r="D73" s="1"/>
    </row>
    <row r="74" spans="1:4" ht="13.5" customHeight="1" x14ac:dyDescent="0.3">
      <c r="A74" s="13" t="s">
        <v>77</v>
      </c>
      <c r="B74" s="12"/>
      <c r="C74" s="9"/>
      <c r="D74" s="1"/>
    </row>
    <row r="75" spans="1:4" ht="13.5" customHeight="1" x14ac:dyDescent="0.3">
      <c r="A75" s="13"/>
      <c r="B75" s="12"/>
      <c r="C75" s="9"/>
      <c r="D75" s="1"/>
    </row>
    <row r="76" spans="1:4" ht="64.5" customHeight="1" x14ac:dyDescent="0.3">
      <c r="A76" s="7" t="s">
        <v>78</v>
      </c>
      <c r="B76" s="53" t="s">
        <v>0</v>
      </c>
      <c r="C76" s="9" t="str">
        <f>IF(AND(B76="No",B77&lt;&gt;""),"Esta seguro que no se requiere cláusula de Continuidad?","")</f>
        <v/>
      </c>
      <c r="D76" s="1"/>
    </row>
    <row r="77" spans="1:4" ht="64.5" customHeight="1" x14ac:dyDescent="0.3">
      <c r="A77" s="7" t="s">
        <v>79</v>
      </c>
      <c r="B77" s="53" t="s">
        <v>95</v>
      </c>
      <c r="C77" s="9" t="str">
        <f>IF(AND(B76="Si",B77=""),"Por favor digitar la compañía actual de seguros","")</f>
        <v/>
      </c>
      <c r="D77" s="1"/>
    </row>
    <row r="78" spans="1:4" ht="13.5" customHeight="1" x14ac:dyDescent="0.3">
      <c r="A78" s="7" t="s">
        <v>80</v>
      </c>
      <c r="B78" s="53" t="s">
        <v>81</v>
      </c>
      <c r="C78" s="9"/>
      <c r="D78" s="1"/>
    </row>
    <row r="79" spans="1:4" ht="64.5" customHeight="1" x14ac:dyDescent="0.25">
      <c r="A79" s="7" t="s">
        <v>82</v>
      </c>
      <c r="B79" s="53" t="s">
        <v>5</v>
      </c>
      <c r="C79" s="9" t="str">
        <f>IF(AND(B79="No",B80&lt;&gt;""),"Esta seguro que no se requiere cláusula de Retribución?","")</f>
        <v>Esta seguro que no se requiere cláusula de Retribución?</v>
      </c>
      <c r="D79" s="27"/>
    </row>
    <row r="80" spans="1:4" ht="64.5" customHeight="1" x14ac:dyDescent="0.25">
      <c r="A80" s="7" t="s">
        <v>83</v>
      </c>
      <c r="B80" s="48" t="s">
        <v>96</v>
      </c>
      <c r="C80" s="9" t="str">
        <f>IF(B80&gt;15%,"Máximo retorno que se otorga es de 15%","")</f>
        <v>Máximo retorno que se otorga es de 15%</v>
      </c>
      <c r="D80" s="16"/>
    </row>
    <row r="81" spans="1:4" ht="64.5" customHeight="1" x14ac:dyDescent="0.25">
      <c r="A81" s="7" t="s">
        <v>84</v>
      </c>
      <c r="B81" s="44"/>
      <c r="C81" s="9" t="str">
        <f>IF(AND(B79="Si",B81=""),"Por favor, no se le olvide tramitar código sponsor en caso de ganarnos el negocio","")</f>
        <v/>
      </c>
      <c r="D81" s="16"/>
    </row>
    <row r="82" spans="1:4" ht="12.5" x14ac:dyDescent="0.25">
      <c r="A82" s="7" t="s">
        <v>85</v>
      </c>
      <c r="B82" s="44" t="s">
        <v>86</v>
      </c>
      <c r="C82" s="9"/>
      <c r="D82" s="16"/>
    </row>
    <row r="83" spans="1:4" ht="23.25" customHeight="1" x14ac:dyDescent="0.25">
      <c r="A83" s="68" t="s">
        <v>87</v>
      </c>
      <c r="B83" s="69"/>
      <c r="C83" s="70"/>
      <c r="D83" s="28"/>
    </row>
    <row r="84" spans="1:4" ht="12.5" x14ac:dyDescent="0.25">
      <c r="A84" s="29" t="s">
        <v>88</v>
      </c>
      <c r="B84" s="30" t="s">
        <v>89</v>
      </c>
      <c r="C84" s="31" t="s">
        <v>90</v>
      </c>
      <c r="D84" s="28"/>
    </row>
    <row r="85" spans="1:4" ht="20" x14ac:dyDescent="0.25">
      <c r="A85" s="56">
        <v>2023</v>
      </c>
      <c r="B85" s="57">
        <v>4025000</v>
      </c>
      <c r="C85" s="58" t="s">
        <v>100</v>
      </c>
      <c r="D85" s="16"/>
    </row>
    <row r="86" spans="1:4" ht="12.5" x14ac:dyDescent="0.25">
      <c r="A86" s="56">
        <v>2024</v>
      </c>
      <c r="B86" s="57">
        <v>1215000</v>
      </c>
      <c r="C86" s="58" t="s">
        <v>99</v>
      </c>
      <c r="D86" s="16"/>
    </row>
    <row r="87" spans="1:4" ht="12.5" x14ac:dyDescent="0.25">
      <c r="A87" s="56">
        <v>2025</v>
      </c>
      <c r="B87" s="57">
        <v>320000</v>
      </c>
      <c r="C87" s="58" t="s">
        <v>99</v>
      </c>
      <c r="D87" s="16"/>
    </row>
    <row r="88" spans="1:4" ht="12.5" x14ac:dyDescent="0.25">
      <c r="A88" s="56"/>
      <c r="B88" s="57"/>
      <c r="C88" s="58"/>
      <c r="D88" s="16"/>
    </row>
    <row r="89" spans="1:4" ht="12.5" x14ac:dyDescent="0.25">
      <c r="A89" s="56"/>
      <c r="B89" s="57"/>
      <c r="C89" s="58"/>
      <c r="D89" s="16"/>
    </row>
    <row r="90" spans="1:4" ht="19.5" customHeight="1" x14ac:dyDescent="0.25">
      <c r="A90" s="32" t="s">
        <v>91</v>
      </c>
      <c r="B90" s="33"/>
      <c r="C90" s="34"/>
      <c r="D90" s="35"/>
    </row>
    <row r="91" spans="1:4" ht="12.5" x14ac:dyDescent="0.25">
      <c r="A91" s="36"/>
      <c r="B91" s="37"/>
      <c r="C91" s="38"/>
      <c r="D91" s="27"/>
    </row>
    <row r="92" spans="1:4" ht="26.25" customHeight="1" x14ac:dyDescent="0.25">
      <c r="A92" s="39" t="s">
        <v>92</v>
      </c>
      <c r="B92" s="33"/>
      <c r="C92" s="40"/>
      <c r="D92" s="28"/>
    </row>
    <row r="93" spans="1:4" ht="129" customHeight="1" x14ac:dyDescent="0.25">
      <c r="A93" s="55" t="s">
        <v>101</v>
      </c>
      <c r="B93" s="55"/>
      <c r="C93" s="55"/>
      <c r="D93" s="41"/>
    </row>
    <row r="94" spans="1:4" ht="12.5" x14ac:dyDescent="0.25"/>
    <row r="95" spans="1:4" ht="12.75" customHeight="1" x14ac:dyDescent="0.25"/>
    <row r="96" spans="1:4" ht="12.75" customHeight="1" x14ac:dyDescent="0.25"/>
    <row r="97" ht="12.75" customHeight="1" x14ac:dyDescent="0.25"/>
  </sheetData>
  <sheetProtection password="A452" sheet="1" objects="1" scenarios="1"/>
  <mergeCells count="4">
    <mergeCell ref="A1:C1"/>
    <mergeCell ref="A2:C2"/>
    <mergeCell ref="A3:C3"/>
    <mergeCell ref="A83:C83"/>
  </mergeCells>
  <conditionalFormatting sqref="B21">
    <cfRule type="cellIs" dxfId="13" priority="8" stopIfTrue="1" operator="lessThan">
      <formula>20</formula>
    </cfRule>
  </conditionalFormatting>
  <conditionalFormatting sqref="B39">
    <cfRule type="cellIs" dxfId="12" priority="14" stopIfTrue="1" operator="greaterThan">
      <formula>3000000000</formula>
    </cfRule>
  </conditionalFormatting>
  <conditionalFormatting sqref="B40">
    <cfRule type="cellIs" dxfId="11" priority="9" stopIfTrue="1" operator="greaterThan">
      <formula>10000000000</formula>
    </cfRule>
  </conditionalFormatting>
  <conditionalFormatting sqref="C6">
    <cfRule type="cellIs" dxfId="10" priority="16" stopIfTrue="1" operator="equal">
      <formula>$C$5=""</formula>
    </cfRule>
  </conditionalFormatting>
  <conditionalFormatting sqref="C21">
    <cfRule type="beginsWith" dxfId="9" priority="7" stopIfTrue="1" operator="beginsWith" text="E">
      <formula>LEFT(C21,LEN("E"))="E"</formula>
    </cfRule>
  </conditionalFormatting>
  <conditionalFormatting sqref="C34">
    <cfRule type="beginsWith" dxfId="8" priority="2" stopIfTrue="1" operator="beginsWith" text="M">
      <formula>LEFT(C34,LEN("M"))="M"</formula>
    </cfRule>
  </conditionalFormatting>
  <conditionalFormatting sqref="C38">
    <cfRule type="beginsWith" dxfId="7" priority="15" stopIfTrue="1" operator="beginsWith" text="LA">
      <formula>LEFT(C38,LEN("LA"))="LA"</formula>
    </cfRule>
  </conditionalFormatting>
  <conditionalFormatting sqref="C39:C40">
    <cfRule type="beginsWith" dxfId="6" priority="12" stopIfTrue="1" operator="beginsWith" text="Supera">
      <formula>LEFT(C39,LEN("Supera"))="Supera"</formula>
    </cfRule>
  </conditionalFormatting>
  <conditionalFormatting sqref="C40">
    <cfRule type="beginsWith" dxfId="5" priority="10" stopIfTrue="1" operator="beginsWith" text="P">
      <formula>LEFT(C40,LEN("P"))="P"</formula>
    </cfRule>
    <cfRule type="beginsWith" priority="11" stopIfTrue="1" operator="beginsWith" text="P">
      <formula>LEFT(C40,LEN("P"))="P"</formula>
    </cfRule>
  </conditionalFormatting>
  <conditionalFormatting sqref="C76">
    <cfRule type="beginsWith" dxfId="4" priority="6" stopIfTrue="1" operator="beginsWith" text="E">
      <formula>LEFT(C76,LEN("E"))="E"</formula>
    </cfRule>
  </conditionalFormatting>
  <conditionalFormatting sqref="C77">
    <cfRule type="beginsWith" dxfId="3" priority="5" stopIfTrue="1" operator="beginsWith" text="P">
      <formula>LEFT(C77,LEN("P"))="P"</formula>
    </cfRule>
  </conditionalFormatting>
  <conditionalFormatting sqref="C79">
    <cfRule type="beginsWith" dxfId="2" priority="3" stopIfTrue="1" operator="beginsWith" text="E">
      <formula>LEFT(C79,LEN("E"))="E"</formula>
    </cfRule>
  </conditionalFormatting>
  <conditionalFormatting sqref="C80">
    <cfRule type="beginsWith" dxfId="1" priority="1" stopIfTrue="1" operator="beginsWith" text="M">
      <formula>LEFT(C80,LEN("M"))="M"</formula>
    </cfRule>
  </conditionalFormatting>
  <conditionalFormatting sqref="C81">
    <cfRule type="beginsWith" dxfId="0" priority="4" stopIfTrue="1" operator="beginsWith" text="P">
      <formula>LEFT(C81,LEN("P"))="P"</formula>
    </cfRule>
  </conditionalFormatting>
  <dataValidations count="16">
    <dataValidation type="list" allowBlank="1" showInputMessage="1" showErrorMessage="1" sqref="B78" xr:uid="{00000000-0002-0000-0000-000000000000}">
      <formula1>"Mensual Anticipado,Mensual Vencido, Trimestral Anticipado, Semestral Anticipado, Anual Anticipado"</formula1>
    </dataValidation>
    <dataValidation type="list" allowBlank="1" showInputMessage="1" showErrorMessage="1" sqref="B18 IX18 ST18 ACP18 AML18 AWH18 BGD18 BPZ18 BZV18 CJR18 CTN18 DDJ18 DNF18 DXB18 EGX18 EQT18 FAP18 FKL18 FUH18 GED18 GNZ18 GXV18 HHR18 HRN18 IBJ18 ILF18 IVB18 JEX18 JOT18 JYP18 KIL18 KSH18 LCD18 LLZ18 LVV18 MFR18 MPN18 MZJ18 NJF18 NTB18 OCX18 OMT18 OWP18 PGL18 PQH18 QAD18 QJZ18 QTV18 RDR18 RNN18 RXJ18 SHF18 SRB18 TAX18 TKT18 TUP18 UEL18 UOH18 UYD18 VHZ18 VRV18 WBR18 WLN18 WVJ18 B65553 IX65553 ST65553 ACP65553 AML65553 AWH65553 BGD65553 BPZ65553 BZV65553 CJR65553 CTN65553 DDJ65553 DNF65553 DXB65553 EGX65553 EQT65553 FAP65553 FKL65553 FUH65553 GED65553 GNZ65553 GXV65553 HHR65553 HRN65553 IBJ65553 ILF65553 IVB65553 JEX65553 JOT65553 JYP65553 KIL65553 KSH65553 LCD65553 LLZ65553 LVV65553 MFR65553 MPN65553 MZJ65553 NJF65553 NTB65553 OCX65553 OMT65553 OWP65553 PGL65553 PQH65553 QAD65553 QJZ65553 QTV65553 RDR65553 RNN65553 RXJ65553 SHF65553 SRB65553 TAX65553 TKT65553 TUP65553 UEL65553 UOH65553 UYD65553 VHZ65553 VRV65553 WBR65553 WLN65553 WVJ65553 B131089 IX131089 ST131089 ACP131089 AML131089 AWH131089 BGD131089 BPZ131089 BZV131089 CJR131089 CTN131089 DDJ131089 DNF131089 DXB131089 EGX131089 EQT131089 FAP131089 FKL131089 FUH131089 GED131089 GNZ131089 GXV131089 HHR131089 HRN131089 IBJ131089 ILF131089 IVB131089 JEX131089 JOT131089 JYP131089 KIL131089 KSH131089 LCD131089 LLZ131089 LVV131089 MFR131089 MPN131089 MZJ131089 NJF131089 NTB131089 OCX131089 OMT131089 OWP131089 PGL131089 PQH131089 QAD131089 QJZ131089 QTV131089 RDR131089 RNN131089 RXJ131089 SHF131089 SRB131089 TAX131089 TKT131089 TUP131089 UEL131089 UOH131089 UYD131089 VHZ131089 VRV131089 WBR131089 WLN131089 WVJ131089 B196625 IX196625 ST196625 ACP196625 AML196625 AWH196625 BGD196625 BPZ196625 BZV196625 CJR196625 CTN196625 DDJ196625 DNF196625 DXB196625 EGX196625 EQT196625 FAP196625 FKL196625 FUH196625 GED196625 GNZ196625 GXV196625 HHR196625 HRN196625 IBJ196625 ILF196625 IVB196625 JEX196625 JOT196625 JYP196625 KIL196625 KSH196625 LCD196625 LLZ196625 LVV196625 MFR196625 MPN196625 MZJ196625 NJF196625 NTB196625 OCX196625 OMT196625 OWP196625 PGL196625 PQH196625 QAD196625 QJZ196625 QTV196625 RDR196625 RNN196625 RXJ196625 SHF196625 SRB196625 TAX196625 TKT196625 TUP196625 UEL196625 UOH196625 UYD196625 VHZ196625 VRV196625 WBR196625 WLN196625 WVJ196625 B262161 IX262161 ST262161 ACP262161 AML262161 AWH262161 BGD262161 BPZ262161 BZV262161 CJR262161 CTN262161 DDJ262161 DNF262161 DXB262161 EGX262161 EQT262161 FAP262161 FKL262161 FUH262161 GED262161 GNZ262161 GXV262161 HHR262161 HRN262161 IBJ262161 ILF262161 IVB262161 JEX262161 JOT262161 JYP262161 KIL262161 KSH262161 LCD262161 LLZ262161 LVV262161 MFR262161 MPN262161 MZJ262161 NJF262161 NTB262161 OCX262161 OMT262161 OWP262161 PGL262161 PQH262161 QAD262161 QJZ262161 QTV262161 RDR262161 RNN262161 RXJ262161 SHF262161 SRB262161 TAX262161 TKT262161 TUP262161 UEL262161 UOH262161 UYD262161 VHZ262161 VRV262161 WBR262161 WLN262161 WVJ262161 B327697 IX327697 ST327697 ACP327697 AML327697 AWH327697 BGD327697 BPZ327697 BZV327697 CJR327697 CTN327697 DDJ327697 DNF327697 DXB327697 EGX327697 EQT327697 FAP327697 FKL327697 FUH327697 GED327697 GNZ327697 GXV327697 HHR327697 HRN327697 IBJ327697 ILF327697 IVB327697 JEX327697 JOT327697 JYP327697 KIL327697 KSH327697 LCD327697 LLZ327697 LVV327697 MFR327697 MPN327697 MZJ327697 NJF327697 NTB327697 OCX327697 OMT327697 OWP327697 PGL327697 PQH327697 QAD327697 QJZ327697 QTV327697 RDR327697 RNN327697 RXJ327697 SHF327697 SRB327697 TAX327697 TKT327697 TUP327697 UEL327697 UOH327697 UYD327697 VHZ327697 VRV327697 WBR327697 WLN327697 WVJ327697 B393233 IX393233 ST393233 ACP393233 AML393233 AWH393233 BGD393233 BPZ393233 BZV393233 CJR393233 CTN393233 DDJ393233 DNF393233 DXB393233 EGX393233 EQT393233 FAP393233 FKL393233 FUH393233 GED393233 GNZ393233 GXV393233 HHR393233 HRN393233 IBJ393233 ILF393233 IVB393233 JEX393233 JOT393233 JYP393233 KIL393233 KSH393233 LCD393233 LLZ393233 LVV393233 MFR393233 MPN393233 MZJ393233 NJF393233 NTB393233 OCX393233 OMT393233 OWP393233 PGL393233 PQH393233 QAD393233 QJZ393233 QTV393233 RDR393233 RNN393233 RXJ393233 SHF393233 SRB393233 TAX393233 TKT393233 TUP393233 UEL393233 UOH393233 UYD393233 VHZ393233 VRV393233 WBR393233 WLN393233 WVJ393233 B458769 IX458769 ST458769 ACP458769 AML458769 AWH458769 BGD458769 BPZ458769 BZV458769 CJR458769 CTN458769 DDJ458769 DNF458769 DXB458769 EGX458769 EQT458769 FAP458769 FKL458769 FUH458769 GED458769 GNZ458769 GXV458769 HHR458769 HRN458769 IBJ458769 ILF458769 IVB458769 JEX458769 JOT458769 JYP458769 KIL458769 KSH458769 LCD458769 LLZ458769 LVV458769 MFR458769 MPN458769 MZJ458769 NJF458769 NTB458769 OCX458769 OMT458769 OWP458769 PGL458769 PQH458769 QAD458769 QJZ458769 QTV458769 RDR458769 RNN458769 RXJ458769 SHF458769 SRB458769 TAX458769 TKT458769 TUP458769 UEL458769 UOH458769 UYD458769 VHZ458769 VRV458769 WBR458769 WLN458769 WVJ458769 B524305 IX524305 ST524305 ACP524305 AML524305 AWH524305 BGD524305 BPZ524305 BZV524305 CJR524305 CTN524305 DDJ524305 DNF524305 DXB524305 EGX524305 EQT524305 FAP524305 FKL524305 FUH524305 GED524305 GNZ524305 GXV524305 HHR524305 HRN524305 IBJ524305 ILF524305 IVB524305 JEX524305 JOT524305 JYP524305 KIL524305 KSH524305 LCD524305 LLZ524305 LVV524305 MFR524305 MPN524305 MZJ524305 NJF524305 NTB524305 OCX524305 OMT524305 OWP524305 PGL524305 PQH524305 QAD524305 QJZ524305 QTV524305 RDR524305 RNN524305 RXJ524305 SHF524305 SRB524305 TAX524305 TKT524305 TUP524305 UEL524305 UOH524305 UYD524305 VHZ524305 VRV524305 WBR524305 WLN524305 WVJ524305 B589841 IX589841 ST589841 ACP589841 AML589841 AWH589841 BGD589841 BPZ589841 BZV589841 CJR589841 CTN589841 DDJ589841 DNF589841 DXB589841 EGX589841 EQT589841 FAP589841 FKL589841 FUH589841 GED589841 GNZ589841 GXV589841 HHR589841 HRN589841 IBJ589841 ILF589841 IVB589841 JEX589841 JOT589841 JYP589841 KIL589841 KSH589841 LCD589841 LLZ589841 LVV589841 MFR589841 MPN589841 MZJ589841 NJF589841 NTB589841 OCX589841 OMT589841 OWP589841 PGL589841 PQH589841 QAD589841 QJZ589841 QTV589841 RDR589841 RNN589841 RXJ589841 SHF589841 SRB589841 TAX589841 TKT589841 TUP589841 UEL589841 UOH589841 UYD589841 VHZ589841 VRV589841 WBR589841 WLN589841 WVJ589841 B655377 IX655377 ST655377 ACP655377 AML655377 AWH655377 BGD655377 BPZ655377 BZV655377 CJR655377 CTN655377 DDJ655377 DNF655377 DXB655377 EGX655377 EQT655377 FAP655377 FKL655377 FUH655377 GED655377 GNZ655377 GXV655377 HHR655377 HRN655377 IBJ655377 ILF655377 IVB655377 JEX655377 JOT655377 JYP655377 KIL655377 KSH655377 LCD655377 LLZ655377 LVV655377 MFR655377 MPN655377 MZJ655377 NJF655377 NTB655377 OCX655377 OMT655377 OWP655377 PGL655377 PQH655377 QAD655377 QJZ655377 QTV655377 RDR655377 RNN655377 RXJ655377 SHF655377 SRB655377 TAX655377 TKT655377 TUP655377 UEL655377 UOH655377 UYD655377 VHZ655377 VRV655377 WBR655377 WLN655377 WVJ655377 B720913 IX720913 ST720913 ACP720913 AML720913 AWH720913 BGD720913 BPZ720913 BZV720913 CJR720913 CTN720913 DDJ720913 DNF720913 DXB720913 EGX720913 EQT720913 FAP720913 FKL720913 FUH720913 GED720913 GNZ720913 GXV720913 HHR720913 HRN720913 IBJ720913 ILF720913 IVB720913 JEX720913 JOT720913 JYP720913 KIL720913 KSH720913 LCD720913 LLZ720913 LVV720913 MFR720913 MPN720913 MZJ720913 NJF720913 NTB720913 OCX720913 OMT720913 OWP720913 PGL720913 PQH720913 QAD720913 QJZ720913 QTV720913 RDR720913 RNN720913 RXJ720913 SHF720913 SRB720913 TAX720913 TKT720913 TUP720913 UEL720913 UOH720913 UYD720913 VHZ720913 VRV720913 WBR720913 WLN720913 WVJ720913 B786449 IX786449 ST786449 ACP786449 AML786449 AWH786449 BGD786449 BPZ786449 BZV786449 CJR786449 CTN786449 DDJ786449 DNF786449 DXB786449 EGX786449 EQT786449 FAP786449 FKL786449 FUH786449 GED786449 GNZ786449 GXV786449 HHR786449 HRN786449 IBJ786449 ILF786449 IVB786449 JEX786449 JOT786449 JYP786449 KIL786449 KSH786449 LCD786449 LLZ786449 LVV786449 MFR786449 MPN786449 MZJ786449 NJF786449 NTB786449 OCX786449 OMT786449 OWP786449 PGL786449 PQH786449 QAD786449 QJZ786449 QTV786449 RDR786449 RNN786449 RXJ786449 SHF786449 SRB786449 TAX786449 TKT786449 TUP786449 UEL786449 UOH786449 UYD786449 VHZ786449 VRV786449 WBR786449 WLN786449 WVJ786449 B851985 IX851985 ST851985 ACP851985 AML851985 AWH851985 BGD851985 BPZ851985 BZV851985 CJR851985 CTN851985 DDJ851985 DNF851985 DXB851985 EGX851985 EQT851985 FAP851985 FKL851985 FUH851985 GED851985 GNZ851985 GXV851985 HHR851985 HRN851985 IBJ851985 ILF851985 IVB851985 JEX851985 JOT851985 JYP851985 KIL851985 KSH851985 LCD851985 LLZ851985 LVV851985 MFR851985 MPN851985 MZJ851985 NJF851985 NTB851985 OCX851985 OMT851985 OWP851985 PGL851985 PQH851985 QAD851985 QJZ851985 QTV851985 RDR851985 RNN851985 RXJ851985 SHF851985 SRB851985 TAX851985 TKT851985 TUP851985 UEL851985 UOH851985 UYD851985 VHZ851985 VRV851985 WBR851985 WLN851985 WVJ851985 B917521 IX917521 ST917521 ACP917521 AML917521 AWH917521 BGD917521 BPZ917521 BZV917521 CJR917521 CTN917521 DDJ917521 DNF917521 DXB917521 EGX917521 EQT917521 FAP917521 FKL917521 FUH917521 GED917521 GNZ917521 GXV917521 HHR917521 HRN917521 IBJ917521 ILF917521 IVB917521 JEX917521 JOT917521 JYP917521 KIL917521 KSH917521 LCD917521 LLZ917521 LVV917521 MFR917521 MPN917521 MZJ917521 NJF917521 NTB917521 OCX917521 OMT917521 OWP917521 PGL917521 PQH917521 QAD917521 QJZ917521 QTV917521 RDR917521 RNN917521 RXJ917521 SHF917521 SRB917521 TAX917521 TKT917521 TUP917521 UEL917521 UOH917521 UYD917521 VHZ917521 VRV917521 WBR917521 WLN917521 WVJ917521 B983057 IX983057 ST983057 ACP983057 AML983057 AWH983057 BGD983057 BPZ983057 BZV983057 CJR983057 CTN983057 DDJ983057 DNF983057 DXB983057 EGX983057 EQT983057 FAP983057 FKL983057 FUH983057 GED983057 GNZ983057 GXV983057 HHR983057 HRN983057 IBJ983057 ILF983057 IVB983057 JEX983057 JOT983057 JYP983057 KIL983057 KSH983057 LCD983057 LLZ983057 LVV983057 MFR983057 MPN983057 MZJ983057 NJF983057 NTB983057 OCX983057 OMT983057 OWP983057 PGL983057 PQH983057 QAD983057 QJZ983057 QTV983057 RDR983057 RNN983057 RXJ983057 SHF983057 SRB983057 TAX983057 TKT983057 TUP983057 UEL983057 UOH983057 UYD983057 VHZ983057 VRV983057 WBR983057 WLN983057 WVJ983057" xr:uid="{00000000-0002-0000-0000-000001000000}">
      <formula1>"EMPLEADOS, SOCIOS, EJECUTIVOS, DEUDORES, OTROS"</formula1>
    </dataValidation>
    <dataValidation type="list" allowBlank="1" showInputMessage="1" showErrorMessage="1" sqref="B76 IX76 ST76 ACP76 AML76 AWH76 BGD76 BPZ76 BZV76 CJR76 CTN76 DDJ76 DNF76 DXB76 EGX76 EQT76 FAP76 FKL76 FUH76 GED76 GNZ76 GXV76 HHR76 HRN76 IBJ76 ILF76 IVB76 JEX76 JOT76 JYP76 KIL76 KSH76 LCD76 LLZ76 LVV76 MFR76 MPN76 MZJ76 NJF76 NTB76 OCX76 OMT76 OWP76 PGL76 PQH76 QAD76 QJZ76 QTV76 RDR76 RNN76 RXJ76 SHF76 SRB76 TAX76 TKT76 TUP76 UEL76 UOH76 UYD76 VHZ76 VRV76 WBR76 WLN76 WVJ76 B65609 IX65609 ST65609 ACP65609 AML65609 AWH65609 BGD65609 BPZ65609 BZV65609 CJR65609 CTN65609 DDJ65609 DNF65609 DXB65609 EGX65609 EQT65609 FAP65609 FKL65609 FUH65609 GED65609 GNZ65609 GXV65609 HHR65609 HRN65609 IBJ65609 ILF65609 IVB65609 JEX65609 JOT65609 JYP65609 KIL65609 KSH65609 LCD65609 LLZ65609 LVV65609 MFR65609 MPN65609 MZJ65609 NJF65609 NTB65609 OCX65609 OMT65609 OWP65609 PGL65609 PQH65609 QAD65609 QJZ65609 QTV65609 RDR65609 RNN65609 RXJ65609 SHF65609 SRB65609 TAX65609 TKT65609 TUP65609 UEL65609 UOH65609 UYD65609 VHZ65609 VRV65609 WBR65609 WLN65609 WVJ65609 B131145 IX131145 ST131145 ACP131145 AML131145 AWH131145 BGD131145 BPZ131145 BZV131145 CJR131145 CTN131145 DDJ131145 DNF131145 DXB131145 EGX131145 EQT131145 FAP131145 FKL131145 FUH131145 GED131145 GNZ131145 GXV131145 HHR131145 HRN131145 IBJ131145 ILF131145 IVB131145 JEX131145 JOT131145 JYP131145 KIL131145 KSH131145 LCD131145 LLZ131145 LVV131145 MFR131145 MPN131145 MZJ131145 NJF131145 NTB131145 OCX131145 OMT131145 OWP131145 PGL131145 PQH131145 QAD131145 QJZ131145 QTV131145 RDR131145 RNN131145 RXJ131145 SHF131145 SRB131145 TAX131145 TKT131145 TUP131145 UEL131145 UOH131145 UYD131145 VHZ131145 VRV131145 WBR131145 WLN131145 WVJ131145 B196681 IX196681 ST196681 ACP196681 AML196681 AWH196681 BGD196681 BPZ196681 BZV196681 CJR196681 CTN196681 DDJ196681 DNF196681 DXB196681 EGX196681 EQT196681 FAP196681 FKL196681 FUH196681 GED196681 GNZ196681 GXV196681 HHR196681 HRN196681 IBJ196681 ILF196681 IVB196681 JEX196681 JOT196681 JYP196681 KIL196681 KSH196681 LCD196681 LLZ196681 LVV196681 MFR196681 MPN196681 MZJ196681 NJF196681 NTB196681 OCX196681 OMT196681 OWP196681 PGL196681 PQH196681 QAD196681 QJZ196681 QTV196681 RDR196681 RNN196681 RXJ196681 SHF196681 SRB196681 TAX196681 TKT196681 TUP196681 UEL196681 UOH196681 UYD196681 VHZ196681 VRV196681 WBR196681 WLN196681 WVJ196681 B262217 IX262217 ST262217 ACP262217 AML262217 AWH262217 BGD262217 BPZ262217 BZV262217 CJR262217 CTN262217 DDJ262217 DNF262217 DXB262217 EGX262217 EQT262217 FAP262217 FKL262217 FUH262217 GED262217 GNZ262217 GXV262217 HHR262217 HRN262217 IBJ262217 ILF262217 IVB262217 JEX262217 JOT262217 JYP262217 KIL262217 KSH262217 LCD262217 LLZ262217 LVV262217 MFR262217 MPN262217 MZJ262217 NJF262217 NTB262217 OCX262217 OMT262217 OWP262217 PGL262217 PQH262217 QAD262217 QJZ262217 QTV262217 RDR262217 RNN262217 RXJ262217 SHF262217 SRB262217 TAX262217 TKT262217 TUP262217 UEL262217 UOH262217 UYD262217 VHZ262217 VRV262217 WBR262217 WLN262217 WVJ262217 B327753 IX327753 ST327753 ACP327753 AML327753 AWH327753 BGD327753 BPZ327753 BZV327753 CJR327753 CTN327753 DDJ327753 DNF327753 DXB327753 EGX327753 EQT327753 FAP327753 FKL327753 FUH327753 GED327753 GNZ327753 GXV327753 HHR327753 HRN327753 IBJ327753 ILF327753 IVB327753 JEX327753 JOT327753 JYP327753 KIL327753 KSH327753 LCD327753 LLZ327753 LVV327753 MFR327753 MPN327753 MZJ327753 NJF327753 NTB327753 OCX327753 OMT327753 OWP327753 PGL327753 PQH327753 QAD327753 QJZ327753 QTV327753 RDR327753 RNN327753 RXJ327753 SHF327753 SRB327753 TAX327753 TKT327753 TUP327753 UEL327753 UOH327753 UYD327753 VHZ327753 VRV327753 WBR327753 WLN327753 WVJ327753 B393289 IX393289 ST393289 ACP393289 AML393289 AWH393289 BGD393289 BPZ393289 BZV393289 CJR393289 CTN393289 DDJ393289 DNF393289 DXB393289 EGX393289 EQT393289 FAP393289 FKL393289 FUH393289 GED393289 GNZ393289 GXV393289 HHR393289 HRN393289 IBJ393289 ILF393289 IVB393289 JEX393289 JOT393289 JYP393289 KIL393289 KSH393289 LCD393289 LLZ393289 LVV393289 MFR393289 MPN393289 MZJ393289 NJF393289 NTB393289 OCX393289 OMT393289 OWP393289 PGL393289 PQH393289 QAD393289 QJZ393289 QTV393289 RDR393289 RNN393289 RXJ393289 SHF393289 SRB393289 TAX393289 TKT393289 TUP393289 UEL393289 UOH393289 UYD393289 VHZ393289 VRV393289 WBR393289 WLN393289 WVJ393289 B458825 IX458825 ST458825 ACP458825 AML458825 AWH458825 BGD458825 BPZ458825 BZV458825 CJR458825 CTN458825 DDJ458825 DNF458825 DXB458825 EGX458825 EQT458825 FAP458825 FKL458825 FUH458825 GED458825 GNZ458825 GXV458825 HHR458825 HRN458825 IBJ458825 ILF458825 IVB458825 JEX458825 JOT458825 JYP458825 KIL458825 KSH458825 LCD458825 LLZ458825 LVV458825 MFR458825 MPN458825 MZJ458825 NJF458825 NTB458825 OCX458825 OMT458825 OWP458825 PGL458825 PQH458825 QAD458825 QJZ458825 QTV458825 RDR458825 RNN458825 RXJ458825 SHF458825 SRB458825 TAX458825 TKT458825 TUP458825 UEL458825 UOH458825 UYD458825 VHZ458825 VRV458825 WBR458825 WLN458825 WVJ458825 B524361 IX524361 ST524361 ACP524361 AML524361 AWH524361 BGD524361 BPZ524361 BZV524361 CJR524361 CTN524361 DDJ524361 DNF524361 DXB524361 EGX524361 EQT524361 FAP524361 FKL524361 FUH524361 GED524361 GNZ524361 GXV524361 HHR524361 HRN524361 IBJ524361 ILF524361 IVB524361 JEX524361 JOT524361 JYP524361 KIL524361 KSH524361 LCD524361 LLZ524361 LVV524361 MFR524361 MPN524361 MZJ524361 NJF524361 NTB524361 OCX524361 OMT524361 OWP524361 PGL524361 PQH524361 QAD524361 QJZ524361 QTV524361 RDR524361 RNN524361 RXJ524361 SHF524361 SRB524361 TAX524361 TKT524361 TUP524361 UEL524361 UOH524361 UYD524361 VHZ524361 VRV524361 WBR524361 WLN524361 WVJ524361 B589897 IX589897 ST589897 ACP589897 AML589897 AWH589897 BGD589897 BPZ589897 BZV589897 CJR589897 CTN589897 DDJ589897 DNF589897 DXB589897 EGX589897 EQT589897 FAP589897 FKL589897 FUH589897 GED589897 GNZ589897 GXV589897 HHR589897 HRN589897 IBJ589897 ILF589897 IVB589897 JEX589897 JOT589897 JYP589897 KIL589897 KSH589897 LCD589897 LLZ589897 LVV589897 MFR589897 MPN589897 MZJ589897 NJF589897 NTB589897 OCX589897 OMT589897 OWP589897 PGL589897 PQH589897 QAD589897 QJZ589897 QTV589897 RDR589897 RNN589897 RXJ589897 SHF589897 SRB589897 TAX589897 TKT589897 TUP589897 UEL589897 UOH589897 UYD589897 VHZ589897 VRV589897 WBR589897 WLN589897 WVJ589897 B655433 IX655433 ST655433 ACP655433 AML655433 AWH655433 BGD655433 BPZ655433 BZV655433 CJR655433 CTN655433 DDJ655433 DNF655433 DXB655433 EGX655433 EQT655433 FAP655433 FKL655433 FUH655433 GED655433 GNZ655433 GXV655433 HHR655433 HRN655433 IBJ655433 ILF655433 IVB655433 JEX655433 JOT655433 JYP655433 KIL655433 KSH655433 LCD655433 LLZ655433 LVV655433 MFR655433 MPN655433 MZJ655433 NJF655433 NTB655433 OCX655433 OMT655433 OWP655433 PGL655433 PQH655433 QAD655433 QJZ655433 QTV655433 RDR655433 RNN655433 RXJ655433 SHF655433 SRB655433 TAX655433 TKT655433 TUP655433 UEL655433 UOH655433 UYD655433 VHZ655433 VRV655433 WBR655433 WLN655433 WVJ655433 B720969 IX720969 ST720969 ACP720969 AML720969 AWH720969 BGD720969 BPZ720969 BZV720969 CJR720969 CTN720969 DDJ720969 DNF720969 DXB720969 EGX720969 EQT720969 FAP720969 FKL720969 FUH720969 GED720969 GNZ720969 GXV720969 HHR720969 HRN720969 IBJ720969 ILF720969 IVB720969 JEX720969 JOT720969 JYP720969 KIL720969 KSH720969 LCD720969 LLZ720969 LVV720969 MFR720969 MPN720969 MZJ720969 NJF720969 NTB720969 OCX720969 OMT720969 OWP720969 PGL720969 PQH720969 QAD720969 QJZ720969 QTV720969 RDR720969 RNN720969 RXJ720969 SHF720969 SRB720969 TAX720969 TKT720969 TUP720969 UEL720969 UOH720969 UYD720969 VHZ720969 VRV720969 WBR720969 WLN720969 WVJ720969 B786505 IX786505 ST786505 ACP786505 AML786505 AWH786505 BGD786505 BPZ786505 BZV786505 CJR786505 CTN786505 DDJ786505 DNF786505 DXB786505 EGX786505 EQT786505 FAP786505 FKL786505 FUH786505 GED786505 GNZ786505 GXV786505 HHR786505 HRN786505 IBJ786505 ILF786505 IVB786505 JEX786505 JOT786505 JYP786505 KIL786505 KSH786505 LCD786505 LLZ786505 LVV786505 MFR786505 MPN786505 MZJ786505 NJF786505 NTB786505 OCX786505 OMT786505 OWP786505 PGL786505 PQH786505 QAD786505 QJZ786505 QTV786505 RDR786505 RNN786505 RXJ786505 SHF786505 SRB786505 TAX786505 TKT786505 TUP786505 UEL786505 UOH786505 UYD786505 VHZ786505 VRV786505 WBR786505 WLN786505 WVJ786505 B852041 IX852041 ST852041 ACP852041 AML852041 AWH852041 BGD852041 BPZ852041 BZV852041 CJR852041 CTN852041 DDJ852041 DNF852041 DXB852041 EGX852041 EQT852041 FAP852041 FKL852041 FUH852041 GED852041 GNZ852041 GXV852041 HHR852041 HRN852041 IBJ852041 ILF852041 IVB852041 JEX852041 JOT852041 JYP852041 KIL852041 KSH852041 LCD852041 LLZ852041 LVV852041 MFR852041 MPN852041 MZJ852041 NJF852041 NTB852041 OCX852041 OMT852041 OWP852041 PGL852041 PQH852041 QAD852041 QJZ852041 QTV852041 RDR852041 RNN852041 RXJ852041 SHF852041 SRB852041 TAX852041 TKT852041 TUP852041 UEL852041 UOH852041 UYD852041 VHZ852041 VRV852041 WBR852041 WLN852041 WVJ852041 B917577 IX917577 ST917577 ACP917577 AML917577 AWH917577 BGD917577 BPZ917577 BZV917577 CJR917577 CTN917577 DDJ917577 DNF917577 DXB917577 EGX917577 EQT917577 FAP917577 FKL917577 FUH917577 GED917577 GNZ917577 GXV917577 HHR917577 HRN917577 IBJ917577 ILF917577 IVB917577 JEX917577 JOT917577 JYP917577 KIL917577 KSH917577 LCD917577 LLZ917577 LVV917577 MFR917577 MPN917577 MZJ917577 NJF917577 NTB917577 OCX917577 OMT917577 OWP917577 PGL917577 PQH917577 QAD917577 QJZ917577 QTV917577 RDR917577 RNN917577 RXJ917577 SHF917577 SRB917577 TAX917577 TKT917577 TUP917577 UEL917577 UOH917577 UYD917577 VHZ917577 VRV917577 WBR917577 WLN917577 WVJ917577 B983113 IX983113 ST983113 ACP983113 AML983113 AWH983113 BGD983113 BPZ983113 BZV983113 CJR983113 CTN983113 DDJ983113 DNF983113 DXB983113 EGX983113 EQT983113 FAP983113 FKL983113 FUH983113 GED983113 GNZ983113 GXV983113 HHR983113 HRN983113 IBJ983113 ILF983113 IVB983113 JEX983113 JOT983113 JYP983113 KIL983113 KSH983113 LCD983113 LLZ983113 LVV983113 MFR983113 MPN983113 MZJ983113 NJF983113 NTB983113 OCX983113 OMT983113 OWP983113 PGL983113 PQH983113 QAD983113 QJZ983113 QTV983113 RDR983113 RNN983113 RXJ983113 SHF983113 SRB983113 TAX983113 TKT983113 TUP983113 UEL983113 UOH983113 UYD983113 VHZ983113 VRV983113 WBR983113 WLN983113 WVJ983113 B65615:D65617 IX65615:IZ65617 ST65615:SV65617 ACP65615:ACR65617 AML65615:AMN65617 AWH65615:AWJ65617 BGD65615:BGF65617 BPZ65615:BQB65617 BZV65615:BZX65617 CJR65615:CJT65617 CTN65615:CTP65617 DDJ65615:DDL65617 DNF65615:DNH65617 DXB65615:DXD65617 EGX65615:EGZ65617 EQT65615:EQV65617 FAP65615:FAR65617 FKL65615:FKN65617 FUH65615:FUJ65617 GED65615:GEF65617 GNZ65615:GOB65617 GXV65615:GXX65617 HHR65615:HHT65617 HRN65615:HRP65617 IBJ65615:IBL65617 ILF65615:ILH65617 IVB65615:IVD65617 JEX65615:JEZ65617 JOT65615:JOV65617 JYP65615:JYR65617 KIL65615:KIN65617 KSH65615:KSJ65617 LCD65615:LCF65617 LLZ65615:LMB65617 LVV65615:LVX65617 MFR65615:MFT65617 MPN65615:MPP65617 MZJ65615:MZL65617 NJF65615:NJH65617 NTB65615:NTD65617 OCX65615:OCZ65617 OMT65615:OMV65617 OWP65615:OWR65617 PGL65615:PGN65617 PQH65615:PQJ65617 QAD65615:QAF65617 QJZ65615:QKB65617 QTV65615:QTX65617 RDR65615:RDT65617 RNN65615:RNP65617 RXJ65615:RXL65617 SHF65615:SHH65617 SRB65615:SRD65617 TAX65615:TAZ65617 TKT65615:TKV65617 TUP65615:TUR65617 UEL65615:UEN65617 UOH65615:UOJ65617 UYD65615:UYF65617 VHZ65615:VIB65617 VRV65615:VRX65617 WBR65615:WBT65617 WLN65615:WLP65617 WVJ65615:WVL65617 B131151:D131153 IX131151:IZ131153 ST131151:SV131153 ACP131151:ACR131153 AML131151:AMN131153 AWH131151:AWJ131153 BGD131151:BGF131153 BPZ131151:BQB131153 BZV131151:BZX131153 CJR131151:CJT131153 CTN131151:CTP131153 DDJ131151:DDL131153 DNF131151:DNH131153 DXB131151:DXD131153 EGX131151:EGZ131153 EQT131151:EQV131153 FAP131151:FAR131153 FKL131151:FKN131153 FUH131151:FUJ131153 GED131151:GEF131153 GNZ131151:GOB131153 GXV131151:GXX131153 HHR131151:HHT131153 HRN131151:HRP131153 IBJ131151:IBL131153 ILF131151:ILH131153 IVB131151:IVD131153 JEX131151:JEZ131153 JOT131151:JOV131153 JYP131151:JYR131153 KIL131151:KIN131153 KSH131151:KSJ131153 LCD131151:LCF131153 LLZ131151:LMB131153 LVV131151:LVX131153 MFR131151:MFT131153 MPN131151:MPP131153 MZJ131151:MZL131153 NJF131151:NJH131153 NTB131151:NTD131153 OCX131151:OCZ131153 OMT131151:OMV131153 OWP131151:OWR131153 PGL131151:PGN131153 PQH131151:PQJ131153 QAD131151:QAF131153 QJZ131151:QKB131153 QTV131151:QTX131153 RDR131151:RDT131153 RNN131151:RNP131153 RXJ131151:RXL131153 SHF131151:SHH131153 SRB131151:SRD131153 TAX131151:TAZ131153 TKT131151:TKV131153 TUP131151:TUR131153 UEL131151:UEN131153 UOH131151:UOJ131153 UYD131151:UYF131153 VHZ131151:VIB131153 VRV131151:VRX131153 WBR131151:WBT131153 WLN131151:WLP131153 WVJ131151:WVL131153 B196687:D196689 IX196687:IZ196689 ST196687:SV196689 ACP196687:ACR196689 AML196687:AMN196689 AWH196687:AWJ196689 BGD196687:BGF196689 BPZ196687:BQB196689 BZV196687:BZX196689 CJR196687:CJT196689 CTN196687:CTP196689 DDJ196687:DDL196689 DNF196687:DNH196689 DXB196687:DXD196689 EGX196687:EGZ196689 EQT196687:EQV196689 FAP196687:FAR196689 FKL196687:FKN196689 FUH196687:FUJ196689 GED196687:GEF196689 GNZ196687:GOB196689 GXV196687:GXX196689 HHR196687:HHT196689 HRN196687:HRP196689 IBJ196687:IBL196689 ILF196687:ILH196689 IVB196687:IVD196689 JEX196687:JEZ196689 JOT196687:JOV196689 JYP196687:JYR196689 KIL196687:KIN196689 KSH196687:KSJ196689 LCD196687:LCF196689 LLZ196687:LMB196689 LVV196687:LVX196689 MFR196687:MFT196689 MPN196687:MPP196689 MZJ196687:MZL196689 NJF196687:NJH196689 NTB196687:NTD196689 OCX196687:OCZ196689 OMT196687:OMV196689 OWP196687:OWR196689 PGL196687:PGN196689 PQH196687:PQJ196689 QAD196687:QAF196689 QJZ196687:QKB196689 QTV196687:QTX196689 RDR196687:RDT196689 RNN196687:RNP196689 RXJ196687:RXL196689 SHF196687:SHH196689 SRB196687:SRD196689 TAX196687:TAZ196689 TKT196687:TKV196689 TUP196687:TUR196689 UEL196687:UEN196689 UOH196687:UOJ196689 UYD196687:UYF196689 VHZ196687:VIB196689 VRV196687:VRX196689 WBR196687:WBT196689 WLN196687:WLP196689 WVJ196687:WVL196689 B262223:D262225 IX262223:IZ262225 ST262223:SV262225 ACP262223:ACR262225 AML262223:AMN262225 AWH262223:AWJ262225 BGD262223:BGF262225 BPZ262223:BQB262225 BZV262223:BZX262225 CJR262223:CJT262225 CTN262223:CTP262225 DDJ262223:DDL262225 DNF262223:DNH262225 DXB262223:DXD262225 EGX262223:EGZ262225 EQT262223:EQV262225 FAP262223:FAR262225 FKL262223:FKN262225 FUH262223:FUJ262225 GED262223:GEF262225 GNZ262223:GOB262225 GXV262223:GXX262225 HHR262223:HHT262225 HRN262223:HRP262225 IBJ262223:IBL262225 ILF262223:ILH262225 IVB262223:IVD262225 JEX262223:JEZ262225 JOT262223:JOV262225 JYP262223:JYR262225 KIL262223:KIN262225 KSH262223:KSJ262225 LCD262223:LCF262225 LLZ262223:LMB262225 LVV262223:LVX262225 MFR262223:MFT262225 MPN262223:MPP262225 MZJ262223:MZL262225 NJF262223:NJH262225 NTB262223:NTD262225 OCX262223:OCZ262225 OMT262223:OMV262225 OWP262223:OWR262225 PGL262223:PGN262225 PQH262223:PQJ262225 QAD262223:QAF262225 QJZ262223:QKB262225 QTV262223:QTX262225 RDR262223:RDT262225 RNN262223:RNP262225 RXJ262223:RXL262225 SHF262223:SHH262225 SRB262223:SRD262225 TAX262223:TAZ262225 TKT262223:TKV262225 TUP262223:TUR262225 UEL262223:UEN262225 UOH262223:UOJ262225 UYD262223:UYF262225 VHZ262223:VIB262225 VRV262223:VRX262225 WBR262223:WBT262225 WLN262223:WLP262225 WVJ262223:WVL262225 B327759:D327761 IX327759:IZ327761 ST327759:SV327761 ACP327759:ACR327761 AML327759:AMN327761 AWH327759:AWJ327761 BGD327759:BGF327761 BPZ327759:BQB327761 BZV327759:BZX327761 CJR327759:CJT327761 CTN327759:CTP327761 DDJ327759:DDL327761 DNF327759:DNH327761 DXB327759:DXD327761 EGX327759:EGZ327761 EQT327759:EQV327761 FAP327759:FAR327761 FKL327759:FKN327761 FUH327759:FUJ327761 GED327759:GEF327761 GNZ327759:GOB327761 GXV327759:GXX327761 HHR327759:HHT327761 HRN327759:HRP327761 IBJ327759:IBL327761 ILF327759:ILH327761 IVB327759:IVD327761 JEX327759:JEZ327761 JOT327759:JOV327761 JYP327759:JYR327761 KIL327759:KIN327761 KSH327759:KSJ327761 LCD327759:LCF327761 LLZ327759:LMB327761 LVV327759:LVX327761 MFR327759:MFT327761 MPN327759:MPP327761 MZJ327759:MZL327761 NJF327759:NJH327761 NTB327759:NTD327761 OCX327759:OCZ327761 OMT327759:OMV327761 OWP327759:OWR327761 PGL327759:PGN327761 PQH327759:PQJ327761 QAD327759:QAF327761 QJZ327759:QKB327761 QTV327759:QTX327761 RDR327759:RDT327761 RNN327759:RNP327761 RXJ327759:RXL327761 SHF327759:SHH327761 SRB327759:SRD327761 TAX327759:TAZ327761 TKT327759:TKV327761 TUP327759:TUR327761 UEL327759:UEN327761 UOH327759:UOJ327761 UYD327759:UYF327761 VHZ327759:VIB327761 VRV327759:VRX327761 WBR327759:WBT327761 WLN327759:WLP327761 WVJ327759:WVL327761 B393295:D393297 IX393295:IZ393297 ST393295:SV393297 ACP393295:ACR393297 AML393295:AMN393297 AWH393295:AWJ393297 BGD393295:BGF393297 BPZ393295:BQB393297 BZV393295:BZX393297 CJR393295:CJT393297 CTN393295:CTP393297 DDJ393295:DDL393297 DNF393295:DNH393297 DXB393295:DXD393297 EGX393295:EGZ393297 EQT393295:EQV393297 FAP393295:FAR393297 FKL393295:FKN393297 FUH393295:FUJ393297 GED393295:GEF393297 GNZ393295:GOB393297 GXV393295:GXX393297 HHR393295:HHT393297 HRN393295:HRP393297 IBJ393295:IBL393297 ILF393295:ILH393297 IVB393295:IVD393297 JEX393295:JEZ393297 JOT393295:JOV393297 JYP393295:JYR393297 KIL393295:KIN393297 KSH393295:KSJ393297 LCD393295:LCF393297 LLZ393295:LMB393297 LVV393295:LVX393297 MFR393295:MFT393297 MPN393295:MPP393297 MZJ393295:MZL393297 NJF393295:NJH393297 NTB393295:NTD393297 OCX393295:OCZ393297 OMT393295:OMV393297 OWP393295:OWR393297 PGL393295:PGN393297 PQH393295:PQJ393297 QAD393295:QAF393297 QJZ393295:QKB393297 QTV393295:QTX393297 RDR393295:RDT393297 RNN393295:RNP393297 RXJ393295:RXL393297 SHF393295:SHH393297 SRB393295:SRD393297 TAX393295:TAZ393297 TKT393295:TKV393297 TUP393295:TUR393297 UEL393295:UEN393297 UOH393295:UOJ393297 UYD393295:UYF393297 VHZ393295:VIB393297 VRV393295:VRX393297 WBR393295:WBT393297 WLN393295:WLP393297 WVJ393295:WVL393297 B458831:D458833 IX458831:IZ458833 ST458831:SV458833 ACP458831:ACR458833 AML458831:AMN458833 AWH458831:AWJ458833 BGD458831:BGF458833 BPZ458831:BQB458833 BZV458831:BZX458833 CJR458831:CJT458833 CTN458831:CTP458833 DDJ458831:DDL458833 DNF458831:DNH458833 DXB458831:DXD458833 EGX458831:EGZ458833 EQT458831:EQV458833 FAP458831:FAR458833 FKL458831:FKN458833 FUH458831:FUJ458833 GED458831:GEF458833 GNZ458831:GOB458833 GXV458831:GXX458833 HHR458831:HHT458833 HRN458831:HRP458833 IBJ458831:IBL458833 ILF458831:ILH458833 IVB458831:IVD458833 JEX458831:JEZ458833 JOT458831:JOV458833 JYP458831:JYR458833 KIL458831:KIN458833 KSH458831:KSJ458833 LCD458831:LCF458833 LLZ458831:LMB458833 LVV458831:LVX458833 MFR458831:MFT458833 MPN458831:MPP458833 MZJ458831:MZL458833 NJF458831:NJH458833 NTB458831:NTD458833 OCX458831:OCZ458833 OMT458831:OMV458833 OWP458831:OWR458833 PGL458831:PGN458833 PQH458831:PQJ458833 QAD458831:QAF458833 QJZ458831:QKB458833 QTV458831:QTX458833 RDR458831:RDT458833 RNN458831:RNP458833 RXJ458831:RXL458833 SHF458831:SHH458833 SRB458831:SRD458833 TAX458831:TAZ458833 TKT458831:TKV458833 TUP458831:TUR458833 UEL458831:UEN458833 UOH458831:UOJ458833 UYD458831:UYF458833 VHZ458831:VIB458833 VRV458831:VRX458833 WBR458831:WBT458833 WLN458831:WLP458833 WVJ458831:WVL458833 B524367:D524369 IX524367:IZ524369 ST524367:SV524369 ACP524367:ACR524369 AML524367:AMN524369 AWH524367:AWJ524369 BGD524367:BGF524369 BPZ524367:BQB524369 BZV524367:BZX524369 CJR524367:CJT524369 CTN524367:CTP524369 DDJ524367:DDL524369 DNF524367:DNH524369 DXB524367:DXD524369 EGX524367:EGZ524369 EQT524367:EQV524369 FAP524367:FAR524369 FKL524367:FKN524369 FUH524367:FUJ524369 GED524367:GEF524369 GNZ524367:GOB524369 GXV524367:GXX524369 HHR524367:HHT524369 HRN524367:HRP524369 IBJ524367:IBL524369 ILF524367:ILH524369 IVB524367:IVD524369 JEX524367:JEZ524369 JOT524367:JOV524369 JYP524367:JYR524369 KIL524367:KIN524369 KSH524367:KSJ524369 LCD524367:LCF524369 LLZ524367:LMB524369 LVV524367:LVX524369 MFR524367:MFT524369 MPN524367:MPP524369 MZJ524367:MZL524369 NJF524367:NJH524369 NTB524367:NTD524369 OCX524367:OCZ524369 OMT524367:OMV524369 OWP524367:OWR524369 PGL524367:PGN524369 PQH524367:PQJ524369 QAD524367:QAF524369 QJZ524367:QKB524369 QTV524367:QTX524369 RDR524367:RDT524369 RNN524367:RNP524369 RXJ524367:RXL524369 SHF524367:SHH524369 SRB524367:SRD524369 TAX524367:TAZ524369 TKT524367:TKV524369 TUP524367:TUR524369 UEL524367:UEN524369 UOH524367:UOJ524369 UYD524367:UYF524369 VHZ524367:VIB524369 VRV524367:VRX524369 WBR524367:WBT524369 WLN524367:WLP524369 WVJ524367:WVL524369 B589903:D589905 IX589903:IZ589905 ST589903:SV589905 ACP589903:ACR589905 AML589903:AMN589905 AWH589903:AWJ589905 BGD589903:BGF589905 BPZ589903:BQB589905 BZV589903:BZX589905 CJR589903:CJT589905 CTN589903:CTP589905 DDJ589903:DDL589905 DNF589903:DNH589905 DXB589903:DXD589905 EGX589903:EGZ589905 EQT589903:EQV589905 FAP589903:FAR589905 FKL589903:FKN589905 FUH589903:FUJ589905 GED589903:GEF589905 GNZ589903:GOB589905 GXV589903:GXX589905 HHR589903:HHT589905 HRN589903:HRP589905 IBJ589903:IBL589905 ILF589903:ILH589905 IVB589903:IVD589905 JEX589903:JEZ589905 JOT589903:JOV589905 JYP589903:JYR589905 KIL589903:KIN589905 KSH589903:KSJ589905 LCD589903:LCF589905 LLZ589903:LMB589905 LVV589903:LVX589905 MFR589903:MFT589905 MPN589903:MPP589905 MZJ589903:MZL589905 NJF589903:NJH589905 NTB589903:NTD589905 OCX589903:OCZ589905 OMT589903:OMV589905 OWP589903:OWR589905 PGL589903:PGN589905 PQH589903:PQJ589905 QAD589903:QAF589905 QJZ589903:QKB589905 QTV589903:QTX589905 RDR589903:RDT589905 RNN589903:RNP589905 RXJ589903:RXL589905 SHF589903:SHH589905 SRB589903:SRD589905 TAX589903:TAZ589905 TKT589903:TKV589905 TUP589903:TUR589905 UEL589903:UEN589905 UOH589903:UOJ589905 UYD589903:UYF589905 VHZ589903:VIB589905 VRV589903:VRX589905 WBR589903:WBT589905 WLN589903:WLP589905 WVJ589903:WVL589905 B655439:D655441 IX655439:IZ655441 ST655439:SV655441 ACP655439:ACR655441 AML655439:AMN655441 AWH655439:AWJ655441 BGD655439:BGF655441 BPZ655439:BQB655441 BZV655439:BZX655441 CJR655439:CJT655441 CTN655439:CTP655441 DDJ655439:DDL655441 DNF655439:DNH655441 DXB655439:DXD655441 EGX655439:EGZ655441 EQT655439:EQV655441 FAP655439:FAR655441 FKL655439:FKN655441 FUH655439:FUJ655441 GED655439:GEF655441 GNZ655439:GOB655441 GXV655439:GXX655441 HHR655439:HHT655441 HRN655439:HRP655441 IBJ655439:IBL655441 ILF655439:ILH655441 IVB655439:IVD655441 JEX655439:JEZ655441 JOT655439:JOV655441 JYP655439:JYR655441 KIL655439:KIN655441 KSH655439:KSJ655441 LCD655439:LCF655441 LLZ655439:LMB655441 LVV655439:LVX655441 MFR655439:MFT655441 MPN655439:MPP655441 MZJ655439:MZL655441 NJF655439:NJH655441 NTB655439:NTD655441 OCX655439:OCZ655441 OMT655439:OMV655441 OWP655439:OWR655441 PGL655439:PGN655441 PQH655439:PQJ655441 QAD655439:QAF655441 QJZ655439:QKB655441 QTV655439:QTX655441 RDR655439:RDT655441 RNN655439:RNP655441 RXJ655439:RXL655441 SHF655439:SHH655441 SRB655439:SRD655441 TAX655439:TAZ655441 TKT655439:TKV655441 TUP655439:TUR655441 UEL655439:UEN655441 UOH655439:UOJ655441 UYD655439:UYF655441 VHZ655439:VIB655441 VRV655439:VRX655441 WBR655439:WBT655441 WLN655439:WLP655441 WVJ655439:WVL655441 B720975:D720977 IX720975:IZ720977 ST720975:SV720977 ACP720975:ACR720977 AML720975:AMN720977 AWH720975:AWJ720977 BGD720975:BGF720977 BPZ720975:BQB720977 BZV720975:BZX720977 CJR720975:CJT720977 CTN720975:CTP720977 DDJ720975:DDL720977 DNF720975:DNH720977 DXB720975:DXD720977 EGX720975:EGZ720977 EQT720975:EQV720977 FAP720975:FAR720977 FKL720975:FKN720977 FUH720975:FUJ720977 GED720975:GEF720977 GNZ720975:GOB720977 GXV720975:GXX720977 HHR720975:HHT720977 HRN720975:HRP720977 IBJ720975:IBL720977 ILF720975:ILH720977 IVB720975:IVD720977 JEX720975:JEZ720977 JOT720975:JOV720977 JYP720975:JYR720977 KIL720975:KIN720977 KSH720975:KSJ720977 LCD720975:LCF720977 LLZ720975:LMB720977 LVV720975:LVX720977 MFR720975:MFT720977 MPN720975:MPP720977 MZJ720975:MZL720977 NJF720975:NJH720977 NTB720975:NTD720977 OCX720975:OCZ720977 OMT720975:OMV720977 OWP720975:OWR720977 PGL720975:PGN720977 PQH720975:PQJ720977 QAD720975:QAF720977 QJZ720975:QKB720977 QTV720975:QTX720977 RDR720975:RDT720977 RNN720975:RNP720977 RXJ720975:RXL720977 SHF720975:SHH720977 SRB720975:SRD720977 TAX720975:TAZ720977 TKT720975:TKV720977 TUP720975:TUR720977 UEL720975:UEN720977 UOH720975:UOJ720977 UYD720975:UYF720977 VHZ720975:VIB720977 VRV720975:VRX720977 WBR720975:WBT720977 WLN720975:WLP720977 WVJ720975:WVL720977 B786511:D786513 IX786511:IZ786513 ST786511:SV786513 ACP786511:ACR786513 AML786511:AMN786513 AWH786511:AWJ786513 BGD786511:BGF786513 BPZ786511:BQB786513 BZV786511:BZX786513 CJR786511:CJT786513 CTN786511:CTP786513 DDJ786511:DDL786513 DNF786511:DNH786513 DXB786511:DXD786513 EGX786511:EGZ786513 EQT786511:EQV786513 FAP786511:FAR786513 FKL786511:FKN786513 FUH786511:FUJ786513 GED786511:GEF786513 GNZ786511:GOB786513 GXV786511:GXX786513 HHR786511:HHT786513 HRN786511:HRP786513 IBJ786511:IBL786513 ILF786511:ILH786513 IVB786511:IVD786513 JEX786511:JEZ786513 JOT786511:JOV786513 JYP786511:JYR786513 KIL786511:KIN786513 KSH786511:KSJ786513 LCD786511:LCF786513 LLZ786511:LMB786513 LVV786511:LVX786513 MFR786511:MFT786513 MPN786511:MPP786513 MZJ786511:MZL786513 NJF786511:NJH786513 NTB786511:NTD786513 OCX786511:OCZ786513 OMT786511:OMV786513 OWP786511:OWR786513 PGL786511:PGN786513 PQH786511:PQJ786513 QAD786511:QAF786513 QJZ786511:QKB786513 QTV786511:QTX786513 RDR786511:RDT786513 RNN786511:RNP786513 RXJ786511:RXL786513 SHF786511:SHH786513 SRB786511:SRD786513 TAX786511:TAZ786513 TKT786511:TKV786513 TUP786511:TUR786513 UEL786511:UEN786513 UOH786511:UOJ786513 UYD786511:UYF786513 VHZ786511:VIB786513 VRV786511:VRX786513 WBR786511:WBT786513 WLN786511:WLP786513 WVJ786511:WVL786513 B852047:D852049 IX852047:IZ852049 ST852047:SV852049 ACP852047:ACR852049 AML852047:AMN852049 AWH852047:AWJ852049 BGD852047:BGF852049 BPZ852047:BQB852049 BZV852047:BZX852049 CJR852047:CJT852049 CTN852047:CTP852049 DDJ852047:DDL852049 DNF852047:DNH852049 DXB852047:DXD852049 EGX852047:EGZ852049 EQT852047:EQV852049 FAP852047:FAR852049 FKL852047:FKN852049 FUH852047:FUJ852049 GED852047:GEF852049 GNZ852047:GOB852049 GXV852047:GXX852049 HHR852047:HHT852049 HRN852047:HRP852049 IBJ852047:IBL852049 ILF852047:ILH852049 IVB852047:IVD852049 JEX852047:JEZ852049 JOT852047:JOV852049 JYP852047:JYR852049 KIL852047:KIN852049 KSH852047:KSJ852049 LCD852047:LCF852049 LLZ852047:LMB852049 LVV852047:LVX852049 MFR852047:MFT852049 MPN852047:MPP852049 MZJ852047:MZL852049 NJF852047:NJH852049 NTB852047:NTD852049 OCX852047:OCZ852049 OMT852047:OMV852049 OWP852047:OWR852049 PGL852047:PGN852049 PQH852047:PQJ852049 QAD852047:QAF852049 QJZ852047:QKB852049 QTV852047:QTX852049 RDR852047:RDT852049 RNN852047:RNP852049 RXJ852047:RXL852049 SHF852047:SHH852049 SRB852047:SRD852049 TAX852047:TAZ852049 TKT852047:TKV852049 TUP852047:TUR852049 UEL852047:UEN852049 UOH852047:UOJ852049 UYD852047:UYF852049 VHZ852047:VIB852049 VRV852047:VRX852049 WBR852047:WBT852049 WLN852047:WLP852049 WVJ852047:WVL852049 B917583:D917585 IX917583:IZ917585 ST917583:SV917585 ACP917583:ACR917585 AML917583:AMN917585 AWH917583:AWJ917585 BGD917583:BGF917585 BPZ917583:BQB917585 BZV917583:BZX917585 CJR917583:CJT917585 CTN917583:CTP917585 DDJ917583:DDL917585 DNF917583:DNH917585 DXB917583:DXD917585 EGX917583:EGZ917585 EQT917583:EQV917585 FAP917583:FAR917585 FKL917583:FKN917585 FUH917583:FUJ917585 GED917583:GEF917585 GNZ917583:GOB917585 GXV917583:GXX917585 HHR917583:HHT917585 HRN917583:HRP917585 IBJ917583:IBL917585 ILF917583:ILH917585 IVB917583:IVD917585 JEX917583:JEZ917585 JOT917583:JOV917585 JYP917583:JYR917585 KIL917583:KIN917585 KSH917583:KSJ917585 LCD917583:LCF917585 LLZ917583:LMB917585 LVV917583:LVX917585 MFR917583:MFT917585 MPN917583:MPP917585 MZJ917583:MZL917585 NJF917583:NJH917585 NTB917583:NTD917585 OCX917583:OCZ917585 OMT917583:OMV917585 OWP917583:OWR917585 PGL917583:PGN917585 PQH917583:PQJ917585 QAD917583:QAF917585 QJZ917583:QKB917585 QTV917583:QTX917585 RDR917583:RDT917585 RNN917583:RNP917585 RXJ917583:RXL917585 SHF917583:SHH917585 SRB917583:SRD917585 TAX917583:TAZ917585 TKT917583:TKV917585 TUP917583:TUR917585 UEL917583:UEN917585 UOH917583:UOJ917585 UYD917583:UYF917585 VHZ917583:VIB917585 VRV917583:VRX917585 WBR917583:WBT917585 WLN917583:WLP917585 WVJ917583:WVL917585 B983119:D983121 IX983119:IZ983121 ST983119:SV983121 ACP983119:ACR983121 AML983119:AMN983121 AWH983119:AWJ983121 BGD983119:BGF983121 BPZ983119:BQB983121 BZV983119:BZX983121 CJR983119:CJT983121 CTN983119:CTP983121 DDJ983119:DDL983121 DNF983119:DNH983121 DXB983119:DXD983121 EGX983119:EGZ983121 EQT983119:EQV983121 FAP983119:FAR983121 FKL983119:FKN983121 FUH983119:FUJ983121 GED983119:GEF983121 GNZ983119:GOB983121 GXV983119:GXX983121 HHR983119:HHT983121 HRN983119:HRP983121 IBJ983119:IBL983121 ILF983119:ILH983121 IVB983119:IVD983121 JEX983119:JEZ983121 JOT983119:JOV983121 JYP983119:JYR983121 KIL983119:KIN983121 KSH983119:KSJ983121 LCD983119:LCF983121 LLZ983119:LMB983121 LVV983119:LVX983121 MFR983119:MFT983121 MPN983119:MPP983121 MZJ983119:MZL983121 NJF983119:NJH983121 NTB983119:NTD983121 OCX983119:OCZ983121 OMT983119:OMV983121 OWP983119:OWR983121 PGL983119:PGN983121 PQH983119:PQJ983121 QAD983119:QAF983121 QJZ983119:QKB983121 QTV983119:QTX983121 RDR983119:RDT983121 RNN983119:RNP983121 RXJ983119:RXL983121 SHF983119:SHH983121 SRB983119:SRD983121 TAX983119:TAZ983121 TKT983119:TKV983121 TUP983119:TUR983121 UEL983119:UEN983121 UOH983119:UOJ983121 UYD983119:UYF983121 VHZ983119:VIB983121 VRV983119:VRX983121 WBR983119:WBT983121 WLN983119:WLP983121 WVJ983119:WVL983121 B19:C19 IX19:IY19 ST19:SU19 ACP19:ACQ19 AML19:AMM19 AWH19:AWI19 BGD19:BGE19 BPZ19:BQA19 BZV19:BZW19 CJR19:CJS19 CTN19:CTO19 DDJ19:DDK19 DNF19:DNG19 DXB19:DXC19 EGX19:EGY19 EQT19:EQU19 FAP19:FAQ19 FKL19:FKM19 FUH19:FUI19 GED19:GEE19 GNZ19:GOA19 GXV19:GXW19 HHR19:HHS19 HRN19:HRO19 IBJ19:IBK19 ILF19:ILG19 IVB19:IVC19 JEX19:JEY19 JOT19:JOU19 JYP19:JYQ19 KIL19:KIM19 KSH19:KSI19 LCD19:LCE19 LLZ19:LMA19 LVV19:LVW19 MFR19:MFS19 MPN19:MPO19 MZJ19:MZK19 NJF19:NJG19 NTB19:NTC19 OCX19:OCY19 OMT19:OMU19 OWP19:OWQ19 PGL19:PGM19 PQH19:PQI19 QAD19:QAE19 QJZ19:QKA19 QTV19:QTW19 RDR19:RDS19 RNN19:RNO19 RXJ19:RXK19 SHF19:SHG19 SRB19:SRC19 TAX19:TAY19 TKT19:TKU19 TUP19:TUQ19 UEL19:UEM19 UOH19:UOI19 UYD19:UYE19 VHZ19:VIA19 VRV19:VRW19 WBR19:WBS19 WLN19:WLO19 WVJ19:WVK19 B65554:C65554 IX65554:IY65554 ST65554:SU65554 ACP65554:ACQ65554 AML65554:AMM65554 AWH65554:AWI65554 BGD65554:BGE65554 BPZ65554:BQA65554 BZV65554:BZW65554 CJR65554:CJS65554 CTN65554:CTO65554 DDJ65554:DDK65554 DNF65554:DNG65554 DXB65554:DXC65554 EGX65554:EGY65554 EQT65554:EQU65554 FAP65554:FAQ65554 FKL65554:FKM65554 FUH65554:FUI65554 GED65554:GEE65554 GNZ65554:GOA65554 GXV65554:GXW65554 HHR65554:HHS65554 HRN65554:HRO65554 IBJ65554:IBK65554 ILF65554:ILG65554 IVB65554:IVC65554 JEX65554:JEY65554 JOT65554:JOU65554 JYP65554:JYQ65554 KIL65554:KIM65554 KSH65554:KSI65554 LCD65554:LCE65554 LLZ65554:LMA65554 LVV65554:LVW65554 MFR65554:MFS65554 MPN65554:MPO65554 MZJ65554:MZK65554 NJF65554:NJG65554 NTB65554:NTC65554 OCX65554:OCY65554 OMT65554:OMU65554 OWP65554:OWQ65554 PGL65554:PGM65554 PQH65554:PQI65554 QAD65554:QAE65554 QJZ65554:QKA65554 QTV65554:QTW65554 RDR65554:RDS65554 RNN65554:RNO65554 RXJ65554:RXK65554 SHF65554:SHG65554 SRB65554:SRC65554 TAX65554:TAY65554 TKT65554:TKU65554 TUP65554:TUQ65554 UEL65554:UEM65554 UOH65554:UOI65554 UYD65554:UYE65554 VHZ65554:VIA65554 VRV65554:VRW65554 WBR65554:WBS65554 WLN65554:WLO65554 WVJ65554:WVK65554 B131090:C131090 IX131090:IY131090 ST131090:SU131090 ACP131090:ACQ131090 AML131090:AMM131090 AWH131090:AWI131090 BGD131090:BGE131090 BPZ131090:BQA131090 BZV131090:BZW131090 CJR131090:CJS131090 CTN131090:CTO131090 DDJ131090:DDK131090 DNF131090:DNG131090 DXB131090:DXC131090 EGX131090:EGY131090 EQT131090:EQU131090 FAP131090:FAQ131090 FKL131090:FKM131090 FUH131090:FUI131090 GED131090:GEE131090 GNZ131090:GOA131090 GXV131090:GXW131090 HHR131090:HHS131090 HRN131090:HRO131090 IBJ131090:IBK131090 ILF131090:ILG131090 IVB131090:IVC131090 JEX131090:JEY131090 JOT131090:JOU131090 JYP131090:JYQ131090 KIL131090:KIM131090 KSH131090:KSI131090 LCD131090:LCE131090 LLZ131090:LMA131090 LVV131090:LVW131090 MFR131090:MFS131090 MPN131090:MPO131090 MZJ131090:MZK131090 NJF131090:NJG131090 NTB131090:NTC131090 OCX131090:OCY131090 OMT131090:OMU131090 OWP131090:OWQ131090 PGL131090:PGM131090 PQH131090:PQI131090 QAD131090:QAE131090 QJZ131090:QKA131090 QTV131090:QTW131090 RDR131090:RDS131090 RNN131090:RNO131090 RXJ131090:RXK131090 SHF131090:SHG131090 SRB131090:SRC131090 TAX131090:TAY131090 TKT131090:TKU131090 TUP131090:TUQ131090 UEL131090:UEM131090 UOH131090:UOI131090 UYD131090:UYE131090 VHZ131090:VIA131090 VRV131090:VRW131090 WBR131090:WBS131090 WLN131090:WLO131090 WVJ131090:WVK131090 B196626:C196626 IX196626:IY196626 ST196626:SU196626 ACP196626:ACQ196626 AML196626:AMM196626 AWH196626:AWI196626 BGD196626:BGE196626 BPZ196626:BQA196626 BZV196626:BZW196626 CJR196626:CJS196626 CTN196626:CTO196626 DDJ196626:DDK196626 DNF196626:DNG196626 DXB196626:DXC196626 EGX196626:EGY196626 EQT196626:EQU196626 FAP196626:FAQ196626 FKL196626:FKM196626 FUH196626:FUI196626 GED196626:GEE196626 GNZ196626:GOA196626 GXV196626:GXW196626 HHR196626:HHS196626 HRN196626:HRO196626 IBJ196626:IBK196626 ILF196626:ILG196626 IVB196626:IVC196626 JEX196626:JEY196626 JOT196626:JOU196626 JYP196626:JYQ196626 KIL196626:KIM196626 KSH196626:KSI196626 LCD196626:LCE196626 LLZ196626:LMA196626 LVV196626:LVW196626 MFR196626:MFS196626 MPN196626:MPO196626 MZJ196626:MZK196626 NJF196626:NJG196626 NTB196626:NTC196626 OCX196626:OCY196626 OMT196626:OMU196626 OWP196626:OWQ196626 PGL196626:PGM196626 PQH196626:PQI196626 QAD196626:QAE196626 QJZ196626:QKA196626 QTV196626:QTW196626 RDR196626:RDS196626 RNN196626:RNO196626 RXJ196626:RXK196626 SHF196626:SHG196626 SRB196626:SRC196626 TAX196626:TAY196626 TKT196626:TKU196626 TUP196626:TUQ196626 UEL196626:UEM196626 UOH196626:UOI196626 UYD196626:UYE196626 VHZ196626:VIA196626 VRV196626:VRW196626 WBR196626:WBS196626 WLN196626:WLO196626 WVJ196626:WVK196626 B262162:C262162 IX262162:IY262162 ST262162:SU262162 ACP262162:ACQ262162 AML262162:AMM262162 AWH262162:AWI262162 BGD262162:BGE262162 BPZ262162:BQA262162 BZV262162:BZW262162 CJR262162:CJS262162 CTN262162:CTO262162 DDJ262162:DDK262162 DNF262162:DNG262162 DXB262162:DXC262162 EGX262162:EGY262162 EQT262162:EQU262162 FAP262162:FAQ262162 FKL262162:FKM262162 FUH262162:FUI262162 GED262162:GEE262162 GNZ262162:GOA262162 GXV262162:GXW262162 HHR262162:HHS262162 HRN262162:HRO262162 IBJ262162:IBK262162 ILF262162:ILG262162 IVB262162:IVC262162 JEX262162:JEY262162 JOT262162:JOU262162 JYP262162:JYQ262162 KIL262162:KIM262162 KSH262162:KSI262162 LCD262162:LCE262162 LLZ262162:LMA262162 LVV262162:LVW262162 MFR262162:MFS262162 MPN262162:MPO262162 MZJ262162:MZK262162 NJF262162:NJG262162 NTB262162:NTC262162 OCX262162:OCY262162 OMT262162:OMU262162 OWP262162:OWQ262162 PGL262162:PGM262162 PQH262162:PQI262162 QAD262162:QAE262162 QJZ262162:QKA262162 QTV262162:QTW262162 RDR262162:RDS262162 RNN262162:RNO262162 RXJ262162:RXK262162 SHF262162:SHG262162 SRB262162:SRC262162 TAX262162:TAY262162 TKT262162:TKU262162 TUP262162:TUQ262162 UEL262162:UEM262162 UOH262162:UOI262162 UYD262162:UYE262162 VHZ262162:VIA262162 VRV262162:VRW262162 WBR262162:WBS262162 WLN262162:WLO262162 WVJ262162:WVK262162 B327698:C327698 IX327698:IY327698 ST327698:SU327698 ACP327698:ACQ327698 AML327698:AMM327698 AWH327698:AWI327698 BGD327698:BGE327698 BPZ327698:BQA327698 BZV327698:BZW327698 CJR327698:CJS327698 CTN327698:CTO327698 DDJ327698:DDK327698 DNF327698:DNG327698 DXB327698:DXC327698 EGX327698:EGY327698 EQT327698:EQU327698 FAP327698:FAQ327698 FKL327698:FKM327698 FUH327698:FUI327698 GED327698:GEE327698 GNZ327698:GOA327698 GXV327698:GXW327698 HHR327698:HHS327698 HRN327698:HRO327698 IBJ327698:IBK327698 ILF327698:ILG327698 IVB327698:IVC327698 JEX327698:JEY327698 JOT327698:JOU327698 JYP327698:JYQ327698 KIL327698:KIM327698 KSH327698:KSI327698 LCD327698:LCE327698 LLZ327698:LMA327698 LVV327698:LVW327698 MFR327698:MFS327698 MPN327698:MPO327698 MZJ327698:MZK327698 NJF327698:NJG327698 NTB327698:NTC327698 OCX327698:OCY327698 OMT327698:OMU327698 OWP327698:OWQ327698 PGL327698:PGM327698 PQH327698:PQI327698 QAD327698:QAE327698 QJZ327698:QKA327698 QTV327698:QTW327698 RDR327698:RDS327698 RNN327698:RNO327698 RXJ327698:RXK327698 SHF327698:SHG327698 SRB327698:SRC327698 TAX327698:TAY327698 TKT327698:TKU327698 TUP327698:TUQ327698 UEL327698:UEM327698 UOH327698:UOI327698 UYD327698:UYE327698 VHZ327698:VIA327698 VRV327698:VRW327698 WBR327698:WBS327698 WLN327698:WLO327698 WVJ327698:WVK327698 B393234:C393234 IX393234:IY393234 ST393234:SU393234 ACP393234:ACQ393234 AML393234:AMM393234 AWH393234:AWI393234 BGD393234:BGE393234 BPZ393234:BQA393234 BZV393234:BZW393234 CJR393234:CJS393234 CTN393234:CTO393234 DDJ393234:DDK393234 DNF393234:DNG393234 DXB393234:DXC393234 EGX393234:EGY393234 EQT393234:EQU393234 FAP393234:FAQ393234 FKL393234:FKM393234 FUH393234:FUI393234 GED393234:GEE393234 GNZ393234:GOA393234 GXV393234:GXW393234 HHR393234:HHS393234 HRN393234:HRO393234 IBJ393234:IBK393234 ILF393234:ILG393234 IVB393234:IVC393234 JEX393234:JEY393234 JOT393234:JOU393234 JYP393234:JYQ393234 KIL393234:KIM393234 KSH393234:KSI393234 LCD393234:LCE393234 LLZ393234:LMA393234 LVV393234:LVW393234 MFR393234:MFS393234 MPN393234:MPO393234 MZJ393234:MZK393234 NJF393234:NJG393234 NTB393234:NTC393234 OCX393234:OCY393234 OMT393234:OMU393234 OWP393234:OWQ393234 PGL393234:PGM393234 PQH393234:PQI393234 QAD393234:QAE393234 QJZ393234:QKA393234 QTV393234:QTW393234 RDR393234:RDS393234 RNN393234:RNO393234 RXJ393234:RXK393234 SHF393234:SHG393234 SRB393234:SRC393234 TAX393234:TAY393234 TKT393234:TKU393234 TUP393234:TUQ393234 UEL393234:UEM393234 UOH393234:UOI393234 UYD393234:UYE393234 VHZ393234:VIA393234 VRV393234:VRW393234 WBR393234:WBS393234 WLN393234:WLO393234 WVJ393234:WVK393234 B458770:C458770 IX458770:IY458770 ST458770:SU458770 ACP458770:ACQ458770 AML458770:AMM458770 AWH458770:AWI458770 BGD458770:BGE458770 BPZ458770:BQA458770 BZV458770:BZW458770 CJR458770:CJS458770 CTN458770:CTO458770 DDJ458770:DDK458770 DNF458770:DNG458770 DXB458770:DXC458770 EGX458770:EGY458770 EQT458770:EQU458770 FAP458770:FAQ458770 FKL458770:FKM458770 FUH458770:FUI458770 GED458770:GEE458770 GNZ458770:GOA458770 GXV458770:GXW458770 HHR458770:HHS458770 HRN458770:HRO458770 IBJ458770:IBK458770 ILF458770:ILG458770 IVB458770:IVC458770 JEX458770:JEY458770 JOT458770:JOU458770 JYP458770:JYQ458770 KIL458770:KIM458770 KSH458770:KSI458770 LCD458770:LCE458770 LLZ458770:LMA458770 LVV458770:LVW458770 MFR458770:MFS458770 MPN458770:MPO458770 MZJ458770:MZK458770 NJF458770:NJG458770 NTB458770:NTC458770 OCX458770:OCY458770 OMT458770:OMU458770 OWP458770:OWQ458770 PGL458770:PGM458770 PQH458770:PQI458770 QAD458770:QAE458770 QJZ458770:QKA458770 QTV458770:QTW458770 RDR458770:RDS458770 RNN458770:RNO458770 RXJ458770:RXK458770 SHF458770:SHG458770 SRB458770:SRC458770 TAX458770:TAY458770 TKT458770:TKU458770 TUP458770:TUQ458770 UEL458770:UEM458770 UOH458770:UOI458770 UYD458770:UYE458770 VHZ458770:VIA458770 VRV458770:VRW458770 WBR458770:WBS458770 WLN458770:WLO458770 WVJ458770:WVK458770 B524306:C524306 IX524306:IY524306 ST524306:SU524306 ACP524306:ACQ524306 AML524306:AMM524306 AWH524306:AWI524306 BGD524306:BGE524306 BPZ524306:BQA524306 BZV524306:BZW524306 CJR524306:CJS524306 CTN524306:CTO524306 DDJ524306:DDK524306 DNF524306:DNG524306 DXB524306:DXC524306 EGX524306:EGY524306 EQT524306:EQU524306 FAP524306:FAQ524306 FKL524306:FKM524306 FUH524306:FUI524306 GED524306:GEE524306 GNZ524306:GOA524306 GXV524306:GXW524306 HHR524306:HHS524306 HRN524306:HRO524306 IBJ524306:IBK524306 ILF524306:ILG524306 IVB524306:IVC524306 JEX524306:JEY524306 JOT524306:JOU524306 JYP524306:JYQ524306 KIL524306:KIM524306 KSH524306:KSI524306 LCD524306:LCE524306 LLZ524306:LMA524306 LVV524306:LVW524306 MFR524306:MFS524306 MPN524306:MPO524306 MZJ524306:MZK524306 NJF524306:NJG524306 NTB524306:NTC524306 OCX524306:OCY524306 OMT524306:OMU524306 OWP524306:OWQ524306 PGL524306:PGM524306 PQH524306:PQI524306 QAD524306:QAE524306 QJZ524306:QKA524306 QTV524306:QTW524306 RDR524306:RDS524306 RNN524306:RNO524306 RXJ524306:RXK524306 SHF524306:SHG524306 SRB524306:SRC524306 TAX524306:TAY524306 TKT524306:TKU524306 TUP524306:TUQ524306 UEL524306:UEM524306 UOH524306:UOI524306 UYD524306:UYE524306 VHZ524306:VIA524306 VRV524306:VRW524306 WBR524306:WBS524306 WLN524306:WLO524306 WVJ524306:WVK524306 B589842:C589842 IX589842:IY589842 ST589842:SU589842 ACP589842:ACQ589842 AML589842:AMM589842 AWH589842:AWI589842 BGD589842:BGE589842 BPZ589842:BQA589842 BZV589842:BZW589842 CJR589842:CJS589842 CTN589842:CTO589842 DDJ589842:DDK589842 DNF589842:DNG589842 DXB589842:DXC589842 EGX589842:EGY589842 EQT589842:EQU589842 FAP589842:FAQ589842 FKL589842:FKM589842 FUH589842:FUI589842 GED589842:GEE589842 GNZ589842:GOA589842 GXV589842:GXW589842 HHR589842:HHS589842 HRN589842:HRO589842 IBJ589842:IBK589842 ILF589842:ILG589842 IVB589842:IVC589842 JEX589842:JEY589842 JOT589842:JOU589842 JYP589842:JYQ589842 KIL589842:KIM589842 KSH589842:KSI589842 LCD589842:LCE589842 LLZ589842:LMA589842 LVV589842:LVW589842 MFR589842:MFS589842 MPN589842:MPO589842 MZJ589842:MZK589842 NJF589842:NJG589842 NTB589842:NTC589842 OCX589842:OCY589842 OMT589842:OMU589842 OWP589842:OWQ589842 PGL589842:PGM589842 PQH589842:PQI589842 QAD589842:QAE589842 QJZ589842:QKA589842 QTV589842:QTW589842 RDR589842:RDS589842 RNN589842:RNO589842 RXJ589842:RXK589842 SHF589842:SHG589842 SRB589842:SRC589842 TAX589842:TAY589842 TKT589842:TKU589842 TUP589842:TUQ589842 UEL589842:UEM589842 UOH589842:UOI589842 UYD589842:UYE589842 VHZ589842:VIA589842 VRV589842:VRW589842 WBR589842:WBS589842 WLN589842:WLO589842 WVJ589842:WVK589842 B655378:C655378 IX655378:IY655378 ST655378:SU655378 ACP655378:ACQ655378 AML655378:AMM655378 AWH655378:AWI655378 BGD655378:BGE655378 BPZ655378:BQA655378 BZV655378:BZW655378 CJR655378:CJS655378 CTN655378:CTO655378 DDJ655378:DDK655378 DNF655378:DNG655378 DXB655378:DXC655378 EGX655378:EGY655378 EQT655378:EQU655378 FAP655378:FAQ655378 FKL655378:FKM655378 FUH655378:FUI655378 GED655378:GEE655378 GNZ655378:GOA655378 GXV655378:GXW655378 HHR655378:HHS655378 HRN655378:HRO655378 IBJ655378:IBK655378 ILF655378:ILG655378 IVB655378:IVC655378 JEX655378:JEY655378 JOT655378:JOU655378 JYP655378:JYQ655378 KIL655378:KIM655378 KSH655378:KSI655378 LCD655378:LCE655378 LLZ655378:LMA655378 LVV655378:LVW655378 MFR655378:MFS655378 MPN655378:MPO655378 MZJ655378:MZK655378 NJF655378:NJG655378 NTB655378:NTC655378 OCX655378:OCY655378 OMT655378:OMU655378 OWP655378:OWQ655378 PGL655378:PGM655378 PQH655378:PQI655378 QAD655378:QAE655378 QJZ655378:QKA655378 QTV655378:QTW655378 RDR655378:RDS655378 RNN655378:RNO655378 RXJ655378:RXK655378 SHF655378:SHG655378 SRB655378:SRC655378 TAX655378:TAY655378 TKT655378:TKU655378 TUP655378:TUQ655378 UEL655378:UEM655378 UOH655378:UOI655378 UYD655378:UYE655378 VHZ655378:VIA655378 VRV655378:VRW655378 WBR655378:WBS655378 WLN655378:WLO655378 WVJ655378:WVK655378 B720914:C720914 IX720914:IY720914 ST720914:SU720914 ACP720914:ACQ720914 AML720914:AMM720914 AWH720914:AWI720914 BGD720914:BGE720914 BPZ720914:BQA720914 BZV720914:BZW720914 CJR720914:CJS720914 CTN720914:CTO720914 DDJ720914:DDK720914 DNF720914:DNG720914 DXB720914:DXC720914 EGX720914:EGY720914 EQT720914:EQU720914 FAP720914:FAQ720914 FKL720914:FKM720914 FUH720914:FUI720914 GED720914:GEE720914 GNZ720914:GOA720914 GXV720914:GXW720914 HHR720914:HHS720914 HRN720914:HRO720914 IBJ720914:IBK720914 ILF720914:ILG720914 IVB720914:IVC720914 JEX720914:JEY720914 JOT720914:JOU720914 JYP720914:JYQ720914 KIL720914:KIM720914 KSH720914:KSI720914 LCD720914:LCE720914 LLZ720914:LMA720914 LVV720914:LVW720914 MFR720914:MFS720914 MPN720914:MPO720914 MZJ720914:MZK720914 NJF720914:NJG720914 NTB720914:NTC720914 OCX720914:OCY720914 OMT720914:OMU720914 OWP720914:OWQ720914 PGL720914:PGM720914 PQH720914:PQI720914 QAD720914:QAE720914 QJZ720914:QKA720914 QTV720914:QTW720914 RDR720914:RDS720914 RNN720914:RNO720914 RXJ720914:RXK720914 SHF720914:SHG720914 SRB720914:SRC720914 TAX720914:TAY720914 TKT720914:TKU720914 TUP720914:TUQ720914 UEL720914:UEM720914 UOH720914:UOI720914 UYD720914:UYE720914 VHZ720914:VIA720914 VRV720914:VRW720914 WBR720914:WBS720914 WLN720914:WLO720914 WVJ720914:WVK720914 B786450:C786450 IX786450:IY786450 ST786450:SU786450 ACP786450:ACQ786450 AML786450:AMM786450 AWH786450:AWI786450 BGD786450:BGE786450 BPZ786450:BQA786450 BZV786450:BZW786450 CJR786450:CJS786450 CTN786450:CTO786450 DDJ786450:DDK786450 DNF786450:DNG786450 DXB786450:DXC786450 EGX786450:EGY786450 EQT786450:EQU786450 FAP786450:FAQ786450 FKL786450:FKM786450 FUH786450:FUI786450 GED786450:GEE786450 GNZ786450:GOA786450 GXV786450:GXW786450 HHR786450:HHS786450 HRN786450:HRO786450 IBJ786450:IBK786450 ILF786450:ILG786450 IVB786450:IVC786450 JEX786450:JEY786450 JOT786450:JOU786450 JYP786450:JYQ786450 KIL786450:KIM786450 KSH786450:KSI786450 LCD786450:LCE786450 LLZ786450:LMA786450 LVV786450:LVW786450 MFR786450:MFS786450 MPN786450:MPO786450 MZJ786450:MZK786450 NJF786450:NJG786450 NTB786450:NTC786450 OCX786450:OCY786450 OMT786450:OMU786450 OWP786450:OWQ786450 PGL786450:PGM786450 PQH786450:PQI786450 QAD786450:QAE786450 QJZ786450:QKA786450 QTV786450:QTW786450 RDR786450:RDS786450 RNN786450:RNO786450 RXJ786450:RXK786450 SHF786450:SHG786450 SRB786450:SRC786450 TAX786450:TAY786450 TKT786450:TKU786450 TUP786450:TUQ786450 UEL786450:UEM786450 UOH786450:UOI786450 UYD786450:UYE786450 VHZ786450:VIA786450 VRV786450:VRW786450 WBR786450:WBS786450 WLN786450:WLO786450 WVJ786450:WVK786450 B851986:C851986 IX851986:IY851986 ST851986:SU851986 ACP851986:ACQ851986 AML851986:AMM851986 AWH851986:AWI851986 BGD851986:BGE851986 BPZ851986:BQA851986 BZV851986:BZW851986 CJR851986:CJS851986 CTN851986:CTO851986 DDJ851986:DDK851986 DNF851986:DNG851986 DXB851986:DXC851986 EGX851986:EGY851986 EQT851986:EQU851986 FAP851986:FAQ851986 FKL851986:FKM851986 FUH851986:FUI851986 GED851986:GEE851986 GNZ851986:GOA851986 GXV851986:GXW851986 HHR851986:HHS851986 HRN851986:HRO851986 IBJ851986:IBK851986 ILF851986:ILG851986 IVB851986:IVC851986 JEX851986:JEY851986 JOT851986:JOU851986 JYP851986:JYQ851986 KIL851986:KIM851986 KSH851986:KSI851986 LCD851986:LCE851986 LLZ851986:LMA851986 LVV851986:LVW851986 MFR851986:MFS851986 MPN851986:MPO851986 MZJ851986:MZK851986 NJF851986:NJG851986 NTB851986:NTC851986 OCX851986:OCY851986 OMT851986:OMU851986 OWP851986:OWQ851986 PGL851986:PGM851986 PQH851986:PQI851986 QAD851986:QAE851986 QJZ851986:QKA851986 QTV851986:QTW851986 RDR851986:RDS851986 RNN851986:RNO851986 RXJ851986:RXK851986 SHF851986:SHG851986 SRB851986:SRC851986 TAX851986:TAY851986 TKT851986:TKU851986 TUP851986:TUQ851986 UEL851986:UEM851986 UOH851986:UOI851986 UYD851986:UYE851986 VHZ851986:VIA851986 VRV851986:VRW851986 WBR851986:WBS851986 WLN851986:WLO851986 WVJ851986:WVK851986 B917522:C917522 IX917522:IY917522 ST917522:SU917522 ACP917522:ACQ917522 AML917522:AMM917522 AWH917522:AWI917522 BGD917522:BGE917522 BPZ917522:BQA917522 BZV917522:BZW917522 CJR917522:CJS917522 CTN917522:CTO917522 DDJ917522:DDK917522 DNF917522:DNG917522 DXB917522:DXC917522 EGX917522:EGY917522 EQT917522:EQU917522 FAP917522:FAQ917522 FKL917522:FKM917522 FUH917522:FUI917522 GED917522:GEE917522 GNZ917522:GOA917522 GXV917522:GXW917522 HHR917522:HHS917522 HRN917522:HRO917522 IBJ917522:IBK917522 ILF917522:ILG917522 IVB917522:IVC917522 JEX917522:JEY917522 JOT917522:JOU917522 JYP917522:JYQ917522 KIL917522:KIM917522 KSH917522:KSI917522 LCD917522:LCE917522 LLZ917522:LMA917522 LVV917522:LVW917522 MFR917522:MFS917522 MPN917522:MPO917522 MZJ917522:MZK917522 NJF917522:NJG917522 NTB917522:NTC917522 OCX917522:OCY917522 OMT917522:OMU917522 OWP917522:OWQ917522 PGL917522:PGM917522 PQH917522:PQI917522 QAD917522:QAE917522 QJZ917522:QKA917522 QTV917522:QTW917522 RDR917522:RDS917522 RNN917522:RNO917522 RXJ917522:RXK917522 SHF917522:SHG917522 SRB917522:SRC917522 TAX917522:TAY917522 TKT917522:TKU917522 TUP917522:TUQ917522 UEL917522:UEM917522 UOH917522:UOI917522 UYD917522:UYE917522 VHZ917522:VIA917522 VRV917522:VRW917522 WBR917522:WBS917522 WLN917522:WLO917522 WVJ917522:WVK917522 B983058:C983058 IX983058:IY983058 ST983058:SU983058 ACP983058:ACQ983058 AML983058:AMM983058 AWH983058:AWI983058 BGD983058:BGE983058 BPZ983058:BQA983058 BZV983058:BZW983058 CJR983058:CJS983058 CTN983058:CTO983058 DDJ983058:DDK983058 DNF983058:DNG983058 DXB983058:DXC983058 EGX983058:EGY983058 EQT983058:EQU983058 FAP983058:FAQ983058 FKL983058:FKM983058 FUH983058:FUI983058 GED983058:GEE983058 GNZ983058:GOA983058 GXV983058:GXW983058 HHR983058:HHS983058 HRN983058:HRO983058 IBJ983058:IBK983058 ILF983058:ILG983058 IVB983058:IVC983058 JEX983058:JEY983058 JOT983058:JOU983058 JYP983058:JYQ983058 KIL983058:KIM983058 KSH983058:KSI983058 LCD983058:LCE983058 LLZ983058:LMA983058 LVV983058:LVW983058 MFR983058:MFS983058 MPN983058:MPO983058 MZJ983058:MZK983058 NJF983058:NJG983058 NTB983058:NTC983058 OCX983058:OCY983058 OMT983058:OMU983058 OWP983058:OWQ983058 PGL983058:PGM983058 PQH983058:PQI983058 QAD983058:QAE983058 QJZ983058:QKA983058 QTV983058:QTW983058 RDR983058:RDS983058 RNN983058:RNO983058 RXJ983058:RXK983058 SHF983058:SHG983058 SRB983058:SRC983058 TAX983058:TAY983058 TKT983058:TKU983058 TUP983058:TUQ983058 UEL983058:UEM983058 UOH983058:UOI983058 UYD983058:UYE983058 VHZ983058:VIA983058 VRV983058:VRW983058 WBR983058:WBS983058 WLN983058:WLO983058 WVJ983058:WVK983058 B79 IX79 ST79 ACP79 AML79 AWH79 BGD79 BPZ79 BZV79 CJR79 CTN79 DDJ79 DNF79 DXB79 EGX79 EQT79 FAP79 FKL79 FUH79 GED79 GNZ79 GXV79 HHR79 HRN79 IBJ79 ILF79 IVB79 JEX79 JOT79 JYP79 KIL79 KSH79 LCD79 LLZ79 LVV79 MFR79 MPN79 MZJ79 NJF79 NTB79 OCX79 OMT79 OWP79 PGL79 PQH79 QAD79 QJZ79 QTV79 RDR79 RNN79 RXJ79 SHF79 SRB79 TAX79 TKT79 TUP79 UEL79 UOH79 UYD79 VHZ79 VRV79 WBR79 WLN79 WVJ79 B65612 IX65612 ST65612 ACP65612 AML65612 AWH65612 BGD65612 BPZ65612 BZV65612 CJR65612 CTN65612 DDJ65612 DNF65612 DXB65612 EGX65612 EQT65612 FAP65612 FKL65612 FUH65612 GED65612 GNZ65612 GXV65612 HHR65612 HRN65612 IBJ65612 ILF65612 IVB65612 JEX65612 JOT65612 JYP65612 KIL65612 KSH65612 LCD65612 LLZ65612 LVV65612 MFR65612 MPN65612 MZJ65612 NJF65612 NTB65612 OCX65612 OMT65612 OWP65612 PGL65612 PQH65612 QAD65612 QJZ65612 QTV65612 RDR65612 RNN65612 RXJ65612 SHF65612 SRB65612 TAX65612 TKT65612 TUP65612 UEL65612 UOH65612 UYD65612 VHZ65612 VRV65612 WBR65612 WLN65612 WVJ65612 B131148 IX131148 ST131148 ACP131148 AML131148 AWH131148 BGD131148 BPZ131148 BZV131148 CJR131148 CTN131148 DDJ131148 DNF131148 DXB131148 EGX131148 EQT131148 FAP131148 FKL131148 FUH131148 GED131148 GNZ131148 GXV131148 HHR131148 HRN131148 IBJ131148 ILF131148 IVB131148 JEX131148 JOT131148 JYP131148 KIL131148 KSH131148 LCD131148 LLZ131148 LVV131148 MFR131148 MPN131148 MZJ131148 NJF131148 NTB131148 OCX131148 OMT131148 OWP131148 PGL131148 PQH131148 QAD131148 QJZ131148 QTV131148 RDR131148 RNN131148 RXJ131148 SHF131148 SRB131148 TAX131148 TKT131148 TUP131148 UEL131148 UOH131148 UYD131148 VHZ131148 VRV131148 WBR131148 WLN131148 WVJ131148 B196684 IX196684 ST196684 ACP196684 AML196684 AWH196684 BGD196684 BPZ196684 BZV196684 CJR196684 CTN196684 DDJ196684 DNF196684 DXB196684 EGX196684 EQT196684 FAP196684 FKL196684 FUH196684 GED196684 GNZ196684 GXV196684 HHR196684 HRN196684 IBJ196684 ILF196684 IVB196684 JEX196684 JOT196684 JYP196684 KIL196684 KSH196684 LCD196684 LLZ196684 LVV196684 MFR196684 MPN196684 MZJ196684 NJF196684 NTB196684 OCX196684 OMT196684 OWP196684 PGL196684 PQH196684 QAD196684 QJZ196684 QTV196684 RDR196684 RNN196684 RXJ196684 SHF196684 SRB196684 TAX196684 TKT196684 TUP196684 UEL196684 UOH196684 UYD196684 VHZ196684 VRV196684 WBR196684 WLN196684 WVJ196684 B262220 IX262220 ST262220 ACP262220 AML262220 AWH262220 BGD262220 BPZ262220 BZV262220 CJR262220 CTN262220 DDJ262220 DNF262220 DXB262220 EGX262220 EQT262220 FAP262220 FKL262220 FUH262220 GED262220 GNZ262220 GXV262220 HHR262220 HRN262220 IBJ262220 ILF262220 IVB262220 JEX262220 JOT262220 JYP262220 KIL262220 KSH262220 LCD262220 LLZ262220 LVV262220 MFR262220 MPN262220 MZJ262220 NJF262220 NTB262220 OCX262220 OMT262220 OWP262220 PGL262220 PQH262220 QAD262220 QJZ262220 QTV262220 RDR262220 RNN262220 RXJ262220 SHF262220 SRB262220 TAX262220 TKT262220 TUP262220 UEL262220 UOH262220 UYD262220 VHZ262220 VRV262220 WBR262220 WLN262220 WVJ262220 B327756 IX327756 ST327756 ACP327756 AML327756 AWH327756 BGD327756 BPZ327756 BZV327756 CJR327756 CTN327756 DDJ327756 DNF327756 DXB327756 EGX327756 EQT327756 FAP327756 FKL327756 FUH327756 GED327756 GNZ327756 GXV327756 HHR327756 HRN327756 IBJ327756 ILF327756 IVB327756 JEX327756 JOT327756 JYP327756 KIL327756 KSH327756 LCD327756 LLZ327756 LVV327756 MFR327756 MPN327756 MZJ327756 NJF327756 NTB327756 OCX327756 OMT327756 OWP327756 PGL327756 PQH327756 QAD327756 QJZ327756 QTV327756 RDR327756 RNN327756 RXJ327756 SHF327756 SRB327756 TAX327756 TKT327756 TUP327756 UEL327756 UOH327756 UYD327756 VHZ327756 VRV327756 WBR327756 WLN327756 WVJ327756 B393292 IX393292 ST393292 ACP393292 AML393292 AWH393292 BGD393292 BPZ393292 BZV393292 CJR393292 CTN393292 DDJ393292 DNF393292 DXB393292 EGX393292 EQT393292 FAP393292 FKL393292 FUH393292 GED393292 GNZ393292 GXV393292 HHR393292 HRN393292 IBJ393292 ILF393292 IVB393292 JEX393292 JOT393292 JYP393292 KIL393292 KSH393292 LCD393292 LLZ393292 LVV393292 MFR393292 MPN393292 MZJ393292 NJF393292 NTB393292 OCX393292 OMT393292 OWP393292 PGL393292 PQH393292 QAD393292 QJZ393292 QTV393292 RDR393292 RNN393292 RXJ393292 SHF393292 SRB393292 TAX393292 TKT393292 TUP393292 UEL393292 UOH393292 UYD393292 VHZ393292 VRV393292 WBR393292 WLN393292 WVJ393292 B458828 IX458828 ST458828 ACP458828 AML458828 AWH458828 BGD458828 BPZ458828 BZV458828 CJR458828 CTN458828 DDJ458828 DNF458828 DXB458828 EGX458828 EQT458828 FAP458828 FKL458828 FUH458828 GED458828 GNZ458828 GXV458828 HHR458828 HRN458828 IBJ458828 ILF458828 IVB458828 JEX458828 JOT458828 JYP458828 KIL458828 KSH458828 LCD458828 LLZ458828 LVV458828 MFR458828 MPN458828 MZJ458828 NJF458828 NTB458828 OCX458828 OMT458828 OWP458828 PGL458828 PQH458828 QAD458828 QJZ458828 QTV458828 RDR458828 RNN458828 RXJ458828 SHF458828 SRB458828 TAX458828 TKT458828 TUP458828 UEL458828 UOH458828 UYD458828 VHZ458828 VRV458828 WBR458828 WLN458828 WVJ458828 B524364 IX524364 ST524364 ACP524364 AML524364 AWH524364 BGD524364 BPZ524364 BZV524364 CJR524364 CTN524364 DDJ524364 DNF524364 DXB524364 EGX524364 EQT524364 FAP524364 FKL524364 FUH524364 GED524364 GNZ524364 GXV524364 HHR524364 HRN524364 IBJ524364 ILF524364 IVB524364 JEX524364 JOT524364 JYP524364 KIL524364 KSH524364 LCD524364 LLZ524364 LVV524364 MFR524364 MPN524364 MZJ524364 NJF524364 NTB524364 OCX524364 OMT524364 OWP524364 PGL524364 PQH524364 QAD524364 QJZ524364 QTV524364 RDR524364 RNN524364 RXJ524364 SHF524364 SRB524364 TAX524364 TKT524364 TUP524364 UEL524364 UOH524364 UYD524364 VHZ524364 VRV524364 WBR524364 WLN524364 WVJ524364 B589900 IX589900 ST589900 ACP589900 AML589900 AWH589900 BGD589900 BPZ589900 BZV589900 CJR589900 CTN589900 DDJ589900 DNF589900 DXB589900 EGX589900 EQT589900 FAP589900 FKL589900 FUH589900 GED589900 GNZ589900 GXV589900 HHR589900 HRN589900 IBJ589900 ILF589900 IVB589900 JEX589900 JOT589900 JYP589900 KIL589900 KSH589900 LCD589900 LLZ589900 LVV589900 MFR589900 MPN589900 MZJ589900 NJF589900 NTB589900 OCX589900 OMT589900 OWP589900 PGL589900 PQH589900 QAD589900 QJZ589900 QTV589900 RDR589900 RNN589900 RXJ589900 SHF589900 SRB589900 TAX589900 TKT589900 TUP589900 UEL589900 UOH589900 UYD589900 VHZ589900 VRV589900 WBR589900 WLN589900 WVJ589900 B655436 IX655436 ST655436 ACP655436 AML655436 AWH655436 BGD655436 BPZ655436 BZV655436 CJR655436 CTN655436 DDJ655436 DNF655436 DXB655436 EGX655436 EQT655436 FAP655436 FKL655436 FUH655436 GED655436 GNZ655436 GXV655436 HHR655436 HRN655436 IBJ655436 ILF655436 IVB655436 JEX655436 JOT655436 JYP655436 KIL655436 KSH655436 LCD655436 LLZ655436 LVV655436 MFR655436 MPN655436 MZJ655436 NJF655436 NTB655436 OCX655436 OMT655436 OWP655436 PGL655436 PQH655436 QAD655436 QJZ655436 QTV655436 RDR655436 RNN655436 RXJ655436 SHF655436 SRB655436 TAX655436 TKT655436 TUP655436 UEL655436 UOH655436 UYD655436 VHZ655436 VRV655436 WBR655436 WLN655436 WVJ655436 B720972 IX720972 ST720972 ACP720972 AML720972 AWH720972 BGD720972 BPZ720972 BZV720972 CJR720972 CTN720972 DDJ720972 DNF720972 DXB720972 EGX720972 EQT720972 FAP720972 FKL720972 FUH720972 GED720972 GNZ720972 GXV720972 HHR720972 HRN720972 IBJ720972 ILF720972 IVB720972 JEX720972 JOT720972 JYP720972 KIL720972 KSH720972 LCD720972 LLZ720972 LVV720972 MFR720972 MPN720972 MZJ720972 NJF720972 NTB720972 OCX720972 OMT720972 OWP720972 PGL720972 PQH720972 QAD720972 QJZ720972 QTV720972 RDR720972 RNN720972 RXJ720972 SHF720972 SRB720972 TAX720972 TKT720972 TUP720972 UEL720972 UOH720972 UYD720972 VHZ720972 VRV720972 WBR720972 WLN720972 WVJ720972 B786508 IX786508 ST786508 ACP786508 AML786508 AWH786508 BGD786508 BPZ786508 BZV786508 CJR786508 CTN786508 DDJ786508 DNF786508 DXB786508 EGX786508 EQT786508 FAP786508 FKL786508 FUH786508 GED786508 GNZ786508 GXV786508 HHR786508 HRN786508 IBJ786508 ILF786508 IVB786508 JEX786508 JOT786508 JYP786508 KIL786508 KSH786508 LCD786508 LLZ786508 LVV786508 MFR786508 MPN786508 MZJ786508 NJF786508 NTB786508 OCX786508 OMT786508 OWP786508 PGL786508 PQH786508 QAD786508 QJZ786508 QTV786508 RDR786508 RNN786508 RXJ786508 SHF786508 SRB786508 TAX786508 TKT786508 TUP786508 UEL786508 UOH786508 UYD786508 VHZ786508 VRV786508 WBR786508 WLN786508 WVJ786508 B852044 IX852044 ST852044 ACP852044 AML852044 AWH852044 BGD852044 BPZ852044 BZV852044 CJR852044 CTN852044 DDJ852044 DNF852044 DXB852044 EGX852044 EQT852044 FAP852044 FKL852044 FUH852044 GED852044 GNZ852044 GXV852044 HHR852044 HRN852044 IBJ852044 ILF852044 IVB852044 JEX852044 JOT852044 JYP852044 KIL852044 KSH852044 LCD852044 LLZ852044 LVV852044 MFR852044 MPN852044 MZJ852044 NJF852044 NTB852044 OCX852044 OMT852044 OWP852044 PGL852044 PQH852044 QAD852044 QJZ852044 QTV852044 RDR852044 RNN852044 RXJ852044 SHF852044 SRB852044 TAX852044 TKT852044 TUP852044 UEL852044 UOH852044 UYD852044 VHZ852044 VRV852044 WBR852044 WLN852044 WVJ852044 B917580 IX917580 ST917580 ACP917580 AML917580 AWH917580 BGD917580 BPZ917580 BZV917580 CJR917580 CTN917580 DDJ917580 DNF917580 DXB917580 EGX917580 EQT917580 FAP917580 FKL917580 FUH917580 GED917580 GNZ917580 GXV917580 HHR917580 HRN917580 IBJ917580 ILF917580 IVB917580 JEX917580 JOT917580 JYP917580 KIL917580 KSH917580 LCD917580 LLZ917580 LVV917580 MFR917580 MPN917580 MZJ917580 NJF917580 NTB917580 OCX917580 OMT917580 OWP917580 PGL917580 PQH917580 QAD917580 QJZ917580 QTV917580 RDR917580 RNN917580 RXJ917580 SHF917580 SRB917580 TAX917580 TKT917580 TUP917580 UEL917580 UOH917580 UYD917580 VHZ917580 VRV917580 WBR917580 WLN917580 WVJ917580 B983116 IX983116 ST983116 ACP983116 AML983116 AWH983116 BGD983116 BPZ983116 BZV983116 CJR983116 CTN983116 DDJ983116 DNF983116 DXB983116 EGX983116 EQT983116 FAP983116 FKL983116 FUH983116 GED983116 GNZ983116 GXV983116 HHR983116 HRN983116 IBJ983116 ILF983116 IVB983116 JEX983116 JOT983116 JYP983116 KIL983116 KSH983116 LCD983116 LLZ983116 LVV983116 MFR983116 MPN983116 MZJ983116 NJF983116 NTB983116 OCX983116 OMT983116 OWP983116 PGL983116 PQH983116 QAD983116 QJZ983116 QTV983116 RDR983116 RNN983116 RXJ983116 SHF983116 SRB983116 TAX983116 TKT983116 TUP983116 UEL983116 UOH983116 UYD983116 VHZ983116 VRV983116 WBR983116 WLN983116 WVJ983116 D79 IZ79 SV79 ACR79 AMN79 AWJ79 BGF79 BQB79 BZX79 CJT79 CTP79 DDL79 DNH79 DXD79 EGZ79 EQV79 FAR79 FKN79 FUJ79 GEF79 GOB79 GXX79 HHT79 HRP79 IBL79 ILH79 IVD79 JEZ79 JOV79 JYR79 KIN79 KSJ79 LCF79 LMB79 LVX79 MFT79 MPP79 MZL79 NJH79 NTD79 OCZ79 OMV79 OWR79 PGN79 PQJ79 QAF79 QKB79 QTX79 RDT79 RNP79 RXL79 SHH79 SRD79 TAZ79 TKV79 TUR79 UEN79 UOJ79 UYF79 VIB79 VRX79 WBT79 WLP79 WVL79 D65612 IZ65612 SV65612 ACR65612 AMN65612 AWJ65612 BGF65612 BQB65612 BZX65612 CJT65612 CTP65612 DDL65612 DNH65612 DXD65612 EGZ65612 EQV65612 FAR65612 FKN65612 FUJ65612 GEF65612 GOB65612 GXX65612 HHT65612 HRP65612 IBL65612 ILH65612 IVD65612 JEZ65612 JOV65612 JYR65612 KIN65612 KSJ65612 LCF65612 LMB65612 LVX65612 MFT65612 MPP65612 MZL65612 NJH65612 NTD65612 OCZ65612 OMV65612 OWR65612 PGN65612 PQJ65612 QAF65612 QKB65612 QTX65612 RDT65612 RNP65612 RXL65612 SHH65612 SRD65612 TAZ65612 TKV65612 TUR65612 UEN65612 UOJ65612 UYF65612 VIB65612 VRX65612 WBT65612 WLP65612 WVL65612 D131148 IZ131148 SV131148 ACR131148 AMN131148 AWJ131148 BGF131148 BQB131148 BZX131148 CJT131148 CTP131148 DDL131148 DNH131148 DXD131148 EGZ131148 EQV131148 FAR131148 FKN131148 FUJ131148 GEF131148 GOB131148 GXX131148 HHT131148 HRP131148 IBL131148 ILH131148 IVD131148 JEZ131148 JOV131148 JYR131148 KIN131148 KSJ131148 LCF131148 LMB131148 LVX131148 MFT131148 MPP131148 MZL131148 NJH131148 NTD131148 OCZ131148 OMV131148 OWR131148 PGN131148 PQJ131148 QAF131148 QKB131148 QTX131148 RDT131148 RNP131148 RXL131148 SHH131148 SRD131148 TAZ131148 TKV131148 TUR131148 UEN131148 UOJ131148 UYF131148 VIB131148 VRX131148 WBT131148 WLP131148 WVL131148 D196684 IZ196684 SV196684 ACR196684 AMN196684 AWJ196684 BGF196684 BQB196684 BZX196684 CJT196684 CTP196684 DDL196684 DNH196684 DXD196684 EGZ196684 EQV196684 FAR196684 FKN196684 FUJ196684 GEF196684 GOB196684 GXX196684 HHT196684 HRP196684 IBL196684 ILH196684 IVD196684 JEZ196684 JOV196684 JYR196684 KIN196684 KSJ196684 LCF196684 LMB196684 LVX196684 MFT196684 MPP196684 MZL196684 NJH196684 NTD196684 OCZ196684 OMV196684 OWR196684 PGN196684 PQJ196684 QAF196684 QKB196684 QTX196684 RDT196684 RNP196684 RXL196684 SHH196684 SRD196684 TAZ196684 TKV196684 TUR196684 UEN196684 UOJ196684 UYF196684 VIB196684 VRX196684 WBT196684 WLP196684 WVL196684 D262220 IZ262220 SV262220 ACR262220 AMN262220 AWJ262220 BGF262220 BQB262220 BZX262220 CJT262220 CTP262220 DDL262220 DNH262220 DXD262220 EGZ262220 EQV262220 FAR262220 FKN262220 FUJ262220 GEF262220 GOB262220 GXX262220 HHT262220 HRP262220 IBL262220 ILH262220 IVD262220 JEZ262220 JOV262220 JYR262220 KIN262220 KSJ262220 LCF262220 LMB262220 LVX262220 MFT262220 MPP262220 MZL262220 NJH262220 NTD262220 OCZ262220 OMV262220 OWR262220 PGN262220 PQJ262220 QAF262220 QKB262220 QTX262220 RDT262220 RNP262220 RXL262220 SHH262220 SRD262220 TAZ262220 TKV262220 TUR262220 UEN262220 UOJ262220 UYF262220 VIB262220 VRX262220 WBT262220 WLP262220 WVL262220 D327756 IZ327756 SV327756 ACR327756 AMN327756 AWJ327756 BGF327756 BQB327756 BZX327756 CJT327756 CTP327756 DDL327756 DNH327756 DXD327756 EGZ327756 EQV327756 FAR327756 FKN327756 FUJ327756 GEF327756 GOB327756 GXX327756 HHT327756 HRP327756 IBL327756 ILH327756 IVD327756 JEZ327756 JOV327756 JYR327756 KIN327756 KSJ327756 LCF327756 LMB327756 LVX327756 MFT327756 MPP327756 MZL327756 NJH327756 NTD327756 OCZ327756 OMV327756 OWR327756 PGN327756 PQJ327756 QAF327756 QKB327756 QTX327756 RDT327756 RNP327756 RXL327756 SHH327756 SRD327756 TAZ327756 TKV327756 TUR327756 UEN327756 UOJ327756 UYF327756 VIB327756 VRX327756 WBT327756 WLP327756 WVL327756 D393292 IZ393292 SV393292 ACR393292 AMN393292 AWJ393292 BGF393292 BQB393292 BZX393292 CJT393292 CTP393292 DDL393292 DNH393292 DXD393292 EGZ393292 EQV393292 FAR393292 FKN393292 FUJ393292 GEF393292 GOB393292 GXX393292 HHT393292 HRP393292 IBL393292 ILH393292 IVD393292 JEZ393292 JOV393292 JYR393292 KIN393292 KSJ393292 LCF393292 LMB393292 LVX393292 MFT393292 MPP393292 MZL393292 NJH393292 NTD393292 OCZ393292 OMV393292 OWR393292 PGN393292 PQJ393292 QAF393292 QKB393292 QTX393292 RDT393292 RNP393292 RXL393292 SHH393292 SRD393292 TAZ393292 TKV393292 TUR393292 UEN393292 UOJ393292 UYF393292 VIB393292 VRX393292 WBT393292 WLP393292 WVL393292 D458828 IZ458828 SV458828 ACR458828 AMN458828 AWJ458828 BGF458828 BQB458828 BZX458828 CJT458828 CTP458828 DDL458828 DNH458828 DXD458828 EGZ458828 EQV458828 FAR458828 FKN458828 FUJ458828 GEF458828 GOB458828 GXX458828 HHT458828 HRP458828 IBL458828 ILH458828 IVD458828 JEZ458828 JOV458828 JYR458828 KIN458828 KSJ458828 LCF458828 LMB458828 LVX458828 MFT458828 MPP458828 MZL458828 NJH458828 NTD458828 OCZ458828 OMV458828 OWR458828 PGN458828 PQJ458828 QAF458828 QKB458828 QTX458828 RDT458828 RNP458828 RXL458828 SHH458828 SRD458828 TAZ458828 TKV458828 TUR458828 UEN458828 UOJ458828 UYF458828 VIB458828 VRX458828 WBT458828 WLP458828 WVL458828 D524364 IZ524364 SV524364 ACR524364 AMN524364 AWJ524364 BGF524364 BQB524364 BZX524364 CJT524364 CTP524364 DDL524364 DNH524364 DXD524364 EGZ524364 EQV524364 FAR524364 FKN524364 FUJ524364 GEF524364 GOB524364 GXX524364 HHT524364 HRP524364 IBL524364 ILH524364 IVD524364 JEZ524364 JOV524364 JYR524364 KIN524364 KSJ524364 LCF524364 LMB524364 LVX524364 MFT524364 MPP524364 MZL524364 NJH524364 NTD524364 OCZ524364 OMV524364 OWR524364 PGN524364 PQJ524364 QAF524364 QKB524364 QTX524364 RDT524364 RNP524364 RXL524364 SHH524364 SRD524364 TAZ524364 TKV524364 TUR524364 UEN524364 UOJ524364 UYF524364 VIB524364 VRX524364 WBT524364 WLP524364 WVL524364 D589900 IZ589900 SV589900 ACR589900 AMN589900 AWJ589900 BGF589900 BQB589900 BZX589900 CJT589900 CTP589900 DDL589900 DNH589900 DXD589900 EGZ589900 EQV589900 FAR589900 FKN589900 FUJ589900 GEF589900 GOB589900 GXX589900 HHT589900 HRP589900 IBL589900 ILH589900 IVD589900 JEZ589900 JOV589900 JYR589900 KIN589900 KSJ589900 LCF589900 LMB589900 LVX589900 MFT589900 MPP589900 MZL589900 NJH589900 NTD589900 OCZ589900 OMV589900 OWR589900 PGN589900 PQJ589900 QAF589900 QKB589900 QTX589900 RDT589900 RNP589900 RXL589900 SHH589900 SRD589900 TAZ589900 TKV589900 TUR589900 UEN589900 UOJ589900 UYF589900 VIB589900 VRX589900 WBT589900 WLP589900 WVL589900 D655436 IZ655436 SV655436 ACR655436 AMN655436 AWJ655436 BGF655436 BQB655436 BZX655436 CJT655436 CTP655436 DDL655436 DNH655436 DXD655436 EGZ655436 EQV655436 FAR655436 FKN655436 FUJ655436 GEF655436 GOB655436 GXX655436 HHT655436 HRP655436 IBL655436 ILH655436 IVD655436 JEZ655436 JOV655436 JYR655436 KIN655436 KSJ655436 LCF655436 LMB655436 LVX655436 MFT655436 MPP655436 MZL655436 NJH655436 NTD655436 OCZ655436 OMV655436 OWR655436 PGN655436 PQJ655436 QAF655436 QKB655436 QTX655436 RDT655436 RNP655436 RXL655436 SHH655436 SRD655436 TAZ655436 TKV655436 TUR655436 UEN655436 UOJ655436 UYF655436 VIB655436 VRX655436 WBT655436 WLP655436 WVL655436 D720972 IZ720972 SV720972 ACR720972 AMN720972 AWJ720972 BGF720972 BQB720972 BZX720972 CJT720972 CTP720972 DDL720972 DNH720972 DXD720972 EGZ720972 EQV720972 FAR720972 FKN720972 FUJ720972 GEF720972 GOB720972 GXX720972 HHT720972 HRP720972 IBL720972 ILH720972 IVD720972 JEZ720972 JOV720972 JYR720972 KIN720972 KSJ720972 LCF720972 LMB720972 LVX720972 MFT720972 MPP720972 MZL720972 NJH720972 NTD720972 OCZ720972 OMV720972 OWR720972 PGN720972 PQJ720972 QAF720972 QKB720972 QTX720972 RDT720972 RNP720972 RXL720972 SHH720972 SRD720972 TAZ720972 TKV720972 TUR720972 UEN720972 UOJ720972 UYF720972 VIB720972 VRX720972 WBT720972 WLP720972 WVL720972 D786508 IZ786508 SV786508 ACR786508 AMN786508 AWJ786508 BGF786508 BQB786508 BZX786508 CJT786508 CTP786508 DDL786508 DNH786508 DXD786508 EGZ786508 EQV786508 FAR786508 FKN786508 FUJ786508 GEF786508 GOB786508 GXX786508 HHT786508 HRP786508 IBL786508 ILH786508 IVD786508 JEZ786508 JOV786508 JYR786508 KIN786508 KSJ786508 LCF786508 LMB786508 LVX786508 MFT786508 MPP786508 MZL786508 NJH786508 NTD786508 OCZ786508 OMV786508 OWR786508 PGN786508 PQJ786508 QAF786508 QKB786508 QTX786508 RDT786508 RNP786508 RXL786508 SHH786508 SRD786508 TAZ786508 TKV786508 TUR786508 UEN786508 UOJ786508 UYF786508 VIB786508 VRX786508 WBT786508 WLP786508 WVL786508 D852044 IZ852044 SV852044 ACR852044 AMN852044 AWJ852044 BGF852044 BQB852044 BZX852044 CJT852044 CTP852044 DDL852044 DNH852044 DXD852044 EGZ852044 EQV852044 FAR852044 FKN852044 FUJ852044 GEF852044 GOB852044 GXX852044 HHT852044 HRP852044 IBL852044 ILH852044 IVD852044 JEZ852044 JOV852044 JYR852044 KIN852044 KSJ852044 LCF852044 LMB852044 LVX852044 MFT852044 MPP852044 MZL852044 NJH852044 NTD852044 OCZ852044 OMV852044 OWR852044 PGN852044 PQJ852044 QAF852044 QKB852044 QTX852044 RDT852044 RNP852044 RXL852044 SHH852044 SRD852044 TAZ852044 TKV852044 TUR852044 UEN852044 UOJ852044 UYF852044 VIB852044 VRX852044 WBT852044 WLP852044 WVL852044 D917580 IZ917580 SV917580 ACR917580 AMN917580 AWJ917580 BGF917580 BQB917580 BZX917580 CJT917580 CTP917580 DDL917580 DNH917580 DXD917580 EGZ917580 EQV917580 FAR917580 FKN917580 FUJ917580 GEF917580 GOB917580 GXX917580 HHT917580 HRP917580 IBL917580 ILH917580 IVD917580 JEZ917580 JOV917580 JYR917580 KIN917580 KSJ917580 LCF917580 LMB917580 LVX917580 MFT917580 MPP917580 MZL917580 NJH917580 NTD917580 OCZ917580 OMV917580 OWR917580 PGN917580 PQJ917580 QAF917580 QKB917580 QTX917580 RDT917580 RNP917580 RXL917580 SHH917580 SRD917580 TAZ917580 TKV917580 TUR917580 UEN917580 UOJ917580 UYF917580 VIB917580 VRX917580 WBT917580 WLP917580 WVL917580 D983116 IZ983116 SV983116 ACR983116 AMN983116 AWJ983116 BGF983116 BQB983116 BZX983116 CJT983116 CTP983116 DDL983116 DNH983116 DXD983116 EGZ983116 EQV983116 FAR983116 FKN983116 FUJ983116 GEF983116 GOB983116 GXX983116 HHT983116 HRP983116 IBL983116 ILH983116 IVD983116 JEZ983116 JOV983116 JYR983116 KIN983116 KSJ983116 LCF983116 LMB983116 LVX983116 MFT983116 MPP983116 MZL983116 NJH983116 NTD983116 OCZ983116 OMV983116 OWR983116 PGN983116 PQJ983116 QAF983116 QKB983116 QTX983116 RDT983116 RNP983116 RXL983116 SHH983116 SRD983116 TAZ983116 TKV983116 TUR983116 UEN983116 UOJ983116 UYF983116 VIB983116 VRX983116 WBT983116 WLP983116 WVL983116" xr:uid="{00000000-0002-0000-0000-000002000000}">
      <formula1>$F$1:$F$2</formula1>
    </dataValidation>
    <dataValidation type="list" allowBlank="1" showInputMessage="1" showErrorMessage="1" sqref="WVJ983115 IX78 ST78 ACP78 AML78 AWH78 BGD78 BPZ78 BZV78 CJR78 CTN78 DDJ78 DNF78 DXB78 EGX78 EQT78 FAP78 FKL78 FUH78 GED78 GNZ78 GXV78 HHR78 HRN78 IBJ78 ILF78 IVB78 JEX78 JOT78 JYP78 KIL78 KSH78 LCD78 LLZ78 LVV78 MFR78 MPN78 MZJ78 NJF78 NTB78 OCX78 OMT78 OWP78 PGL78 PQH78 QAD78 QJZ78 QTV78 RDR78 RNN78 RXJ78 SHF78 SRB78 TAX78 TKT78 TUP78 UEL78 UOH78 UYD78 VHZ78 VRV78 WBR78 WLN78 WVJ78 B65611 IX65611 ST65611 ACP65611 AML65611 AWH65611 BGD65611 BPZ65611 BZV65611 CJR65611 CTN65611 DDJ65611 DNF65611 DXB65611 EGX65611 EQT65611 FAP65611 FKL65611 FUH65611 GED65611 GNZ65611 GXV65611 HHR65611 HRN65611 IBJ65611 ILF65611 IVB65611 JEX65611 JOT65611 JYP65611 KIL65611 KSH65611 LCD65611 LLZ65611 LVV65611 MFR65611 MPN65611 MZJ65611 NJF65611 NTB65611 OCX65611 OMT65611 OWP65611 PGL65611 PQH65611 QAD65611 QJZ65611 QTV65611 RDR65611 RNN65611 RXJ65611 SHF65611 SRB65611 TAX65611 TKT65611 TUP65611 UEL65611 UOH65611 UYD65611 VHZ65611 VRV65611 WBR65611 WLN65611 WVJ65611 B131147 IX131147 ST131147 ACP131147 AML131147 AWH131147 BGD131147 BPZ131147 BZV131147 CJR131147 CTN131147 DDJ131147 DNF131147 DXB131147 EGX131147 EQT131147 FAP131147 FKL131147 FUH131147 GED131147 GNZ131147 GXV131147 HHR131147 HRN131147 IBJ131147 ILF131147 IVB131147 JEX131147 JOT131147 JYP131147 KIL131147 KSH131147 LCD131147 LLZ131147 LVV131147 MFR131147 MPN131147 MZJ131147 NJF131147 NTB131147 OCX131147 OMT131147 OWP131147 PGL131147 PQH131147 QAD131147 QJZ131147 QTV131147 RDR131147 RNN131147 RXJ131147 SHF131147 SRB131147 TAX131147 TKT131147 TUP131147 UEL131147 UOH131147 UYD131147 VHZ131147 VRV131147 WBR131147 WLN131147 WVJ131147 B196683 IX196683 ST196683 ACP196683 AML196683 AWH196683 BGD196683 BPZ196683 BZV196683 CJR196683 CTN196683 DDJ196683 DNF196683 DXB196683 EGX196683 EQT196683 FAP196683 FKL196683 FUH196683 GED196683 GNZ196683 GXV196683 HHR196683 HRN196683 IBJ196683 ILF196683 IVB196683 JEX196683 JOT196683 JYP196683 KIL196683 KSH196683 LCD196683 LLZ196683 LVV196683 MFR196683 MPN196683 MZJ196683 NJF196683 NTB196683 OCX196683 OMT196683 OWP196683 PGL196683 PQH196683 QAD196683 QJZ196683 QTV196683 RDR196683 RNN196683 RXJ196683 SHF196683 SRB196683 TAX196683 TKT196683 TUP196683 UEL196683 UOH196683 UYD196683 VHZ196683 VRV196683 WBR196683 WLN196683 WVJ196683 B262219 IX262219 ST262219 ACP262219 AML262219 AWH262219 BGD262219 BPZ262219 BZV262219 CJR262219 CTN262219 DDJ262219 DNF262219 DXB262219 EGX262219 EQT262219 FAP262219 FKL262219 FUH262219 GED262219 GNZ262219 GXV262219 HHR262219 HRN262219 IBJ262219 ILF262219 IVB262219 JEX262219 JOT262219 JYP262219 KIL262219 KSH262219 LCD262219 LLZ262219 LVV262219 MFR262219 MPN262219 MZJ262219 NJF262219 NTB262219 OCX262219 OMT262219 OWP262219 PGL262219 PQH262219 QAD262219 QJZ262219 QTV262219 RDR262219 RNN262219 RXJ262219 SHF262219 SRB262219 TAX262219 TKT262219 TUP262219 UEL262219 UOH262219 UYD262219 VHZ262219 VRV262219 WBR262219 WLN262219 WVJ262219 B327755 IX327755 ST327755 ACP327755 AML327755 AWH327755 BGD327755 BPZ327755 BZV327755 CJR327755 CTN327755 DDJ327755 DNF327755 DXB327755 EGX327755 EQT327755 FAP327755 FKL327755 FUH327755 GED327755 GNZ327755 GXV327755 HHR327755 HRN327755 IBJ327755 ILF327755 IVB327755 JEX327755 JOT327755 JYP327755 KIL327755 KSH327755 LCD327755 LLZ327755 LVV327755 MFR327755 MPN327755 MZJ327755 NJF327755 NTB327755 OCX327755 OMT327755 OWP327755 PGL327755 PQH327755 QAD327755 QJZ327755 QTV327755 RDR327755 RNN327755 RXJ327755 SHF327755 SRB327755 TAX327755 TKT327755 TUP327755 UEL327755 UOH327755 UYD327755 VHZ327755 VRV327755 WBR327755 WLN327755 WVJ327755 B393291 IX393291 ST393291 ACP393291 AML393291 AWH393291 BGD393291 BPZ393291 BZV393291 CJR393291 CTN393291 DDJ393291 DNF393291 DXB393291 EGX393291 EQT393291 FAP393291 FKL393291 FUH393291 GED393291 GNZ393291 GXV393291 HHR393291 HRN393291 IBJ393291 ILF393291 IVB393291 JEX393291 JOT393291 JYP393291 KIL393291 KSH393291 LCD393291 LLZ393291 LVV393291 MFR393291 MPN393291 MZJ393291 NJF393291 NTB393291 OCX393291 OMT393291 OWP393291 PGL393291 PQH393291 QAD393291 QJZ393291 QTV393291 RDR393291 RNN393291 RXJ393291 SHF393291 SRB393291 TAX393291 TKT393291 TUP393291 UEL393291 UOH393291 UYD393291 VHZ393291 VRV393291 WBR393291 WLN393291 WVJ393291 B458827 IX458827 ST458827 ACP458827 AML458827 AWH458827 BGD458827 BPZ458827 BZV458827 CJR458827 CTN458827 DDJ458827 DNF458827 DXB458827 EGX458827 EQT458827 FAP458827 FKL458827 FUH458827 GED458827 GNZ458827 GXV458827 HHR458827 HRN458827 IBJ458827 ILF458827 IVB458827 JEX458827 JOT458827 JYP458827 KIL458827 KSH458827 LCD458827 LLZ458827 LVV458827 MFR458827 MPN458827 MZJ458827 NJF458827 NTB458827 OCX458827 OMT458827 OWP458827 PGL458827 PQH458827 QAD458827 QJZ458827 QTV458827 RDR458827 RNN458827 RXJ458827 SHF458827 SRB458827 TAX458827 TKT458827 TUP458827 UEL458827 UOH458827 UYD458827 VHZ458827 VRV458827 WBR458827 WLN458827 WVJ458827 B524363 IX524363 ST524363 ACP524363 AML524363 AWH524363 BGD524363 BPZ524363 BZV524363 CJR524363 CTN524363 DDJ524363 DNF524363 DXB524363 EGX524363 EQT524363 FAP524363 FKL524363 FUH524363 GED524363 GNZ524363 GXV524363 HHR524363 HRN524363 IBJ524363 ILF524363 IVB524363 JEX524363 JOT524363 JYP524363 KIL524363 KSH524363 LCD524363 LLZ524363 LVV524363 MFR524363 MPN524363 MZJ524363 NJF524363 NTB524363 OCX524363 OMT524363 OWP524363 PGL524363 PQH524363 QAD524363 QJZ524363 QTV524363 RDR524363 RNN524363 RXJ524363 SHF524363 SRB524363 TAX524363 TKT524363 TUP524363 UEL524363 UOH524363 UYD524363 VHZ524363 VRV524363 WBR524363 WLN524363 WVJ524363 B589899 IX589899 ST589899 ACP589899 AML589899 AWH589899 BGD589899 BPZ589899 BZV589899 CJR589899 CTN589899 DDJ589899 DNF589899 DXB589899 EGX589899 EQT589899 FAP589899 FKL589899 FUH589899 GED589899 GNZ589899 GXV589899 HHR589899 HRN589899 IBJ589899 ILF589899 IVB589899 JEX589899 JOT589899 JYP589899 KIL589899 KSH589899 LCD589899 LLZ589899 LVV589899 MFR589899 MPN589899 MZJ589899 NJF589899 NTB589899 OCX589899 OMT589899 OWP589899 PGL589899 PQH589899 QAD589899 QJZ589899 QTV589899 RDR589899 RNN589899 RXJ589899 SHF589899 SRB589899 TAX589899 TKT589899 TUP589899 UEL589899 UOH589899 UYD589899 VHZ589899 VRV589899 WBR589899 WLN589899 WVJ589899 B655435 IX655435 ST655435 ACP655435 AML655435 AWH655435 BGD655435 BPZ655435 BZV655435 CJR655435 CTN655435 DDJ655435 DNF655435 DXB655435 EGX655435 EQT655435 FAP655435 FKL655435 FUH655435 GED655435 GNZ655435 GXV655435 HHR655435 HRN655435 IBJ655435 ILF655435 IVB655435 JEX655435 JOT655435 JYP655435 KIL655435 KSH655435 LCD655435 LLZ655435 LVV655435 MFR655435 MPN655435 MZJ655435 NJF655435 NTB655435 OCX655435 OMT655435 OWP655435 PGL655435 PQH655435 QAD655435 QJZ655435 QTV655435 RDR655435 RNN655435 RXJ655435 SHF655435 SRB655435 TAX655435 TKT655435 TUP655435 UEL655435 UOH655435 UYD655435 VHZ655435 VRV655435 WBR655435 WLN655435 WVJ655435 B720971 IX720971 ST720971 ACP720971 AML720971 AWH720971 BGD720971 BPZ720971 BZV720971 CJR720971 CTN720971 DDJ720971 DNF720971 DXB720971 EGX720971 EQT720971 FAP720971 FKL720971 FUH720971 GED720971 GNZ720971 GXV720971 HHR720971 HRN720971 IBJ720971 ILF720971 IVB720971 JEX720971 JOT720971 JYP720971 KIL720971 KSH720971 LCD720971 LLZ720971 LVV720971 MFR720971 MPN720971 MZJ720971 NJF720971 NTB720971 OCX720971 OMT720971 OWP720971 PGL720971 PQH720971 QAD720971 QJZ720971 QTV720971 RDR720971 RNN720971 RXJ720971 SHF720971 SRB720971 TAX720971 TKT720971 TUP720971 UEL720971 UOH720971 UYD720971 VHZ720971 VRV720971 WBR720971 WLN720971 WVJ720971 B786507 IX786507 ST786507 ACP786507 AML786507 AWH786507 BGD786507 BPZ786507 BZV786507 CJR786507 CTN786507 DDJ786507 DNF786507 DXB786507 EGX786507 EQT786507 FAP786507 FKL786507 FUH786507 GED786507 GNZ786507 GXV786507 HHR786507 HRN786507 IBJ786507 ILF786507 IVB786507 JEX786507 JOT786507 JYP786507 KIL786507 KSH786507 LCD786507 LLZ786507 LVV786507 MFR786507 MPN786507 MZJ786507 NJF786507 NTB786507 OCX786507 OMT786507 OWP786507 PGL786507 PQH786507 QAD786507 QJZ786507 QTV786507 RDR786507 RNN786507 RXJ786507 SHF786507 SRB786507 TAX786507 TKT786507 TUP786507 UEL786507 UOH786507 UYD786507 VHZ786507 VRV786507 WBR786507 WLN786507 WVJ786507 B852043 IX852043 ST852043 ACP852043 AML852043 AWH852043 BGD852043 BPZ852043 BZV852043 CJR852043 CTN852043 DDJ852043 DNF852043 DXB852043 EGX852043 EQT852043 FAP852043 FKL852043 FUH852043 GED852043 GNZ852043 GXV852043 HHR852043 HRN852043 IBJ852043 ILF852043 IVB852043 JEX852043 JOT852043 JYP852043 KIL852043 KSH852043 LCD852043 LLZ852043 LVV852043 MFR852043 MPN852043 MZJ852043 NJF852043 NTB852043 OCX852043 OMT852043 OWP852043 PGL852043 PQH852043 QAD852043 QJZ852043 QTV852043 RDR852043 RNN852043 RXJ852043 SHF852043 SRB852043 TAX852043 TKT852043 TUP852043 UEL852043 UOH852043 UYD852043 VHZ852043 VRV852043 WBR852043 WLN852043 WVJ852043 B917579 IX917579 ST917579 ACP917579 AML917579 AWH917579 BGD917579 BPZ917579 BZV917579 CJR917579 CTN917579 DDJ917579 DNF917579 DXB917579 EGX917579 EQT917579 FAP917579 FKL917579 FUH917579 GED917579 GNZ917579 GXV917579 HHR917579 HRN917579 IBJ917579 ILF917579 IVB917579 JEX917579 JOT917579 JYP917579 KIL917579 KSH917579 LCD917579 LLZ917579 LVV917579 MFR917579 MPN917579 MZJ917579 NJF917579 NTB917579 OCX917579 OMT917579 OWP917579 PGL917579 PQH917579 QAD917579 QJZ917579 QTV917579 RDR917579 RNN917579 RXJ917579 SHF917579 SRB917579 TAX917579 TKT917579 TUP917579 UEL917579 UOH917579 UYD917579 VHZ917579 VRV917579 WBR917579 WLN917579 WVJ917579 B983115 IX983115 ST983115 ACP983115 AML983115 AWH983115 BGD983115 BPZ983115 BZV983115 CJR983115 CTN983115 DDJ983115 DNF983115 DXB983115 EGX983115 EQT983115 FAP983115 FKL983115 FUH983115 GED983115 GNZ983115 GXV983115 HHR983115 HRN983115 IBJ983115 ILF983115 IVB983115 JEX983115 JOT983115 JYP983115 KIL983115 KSH983115 LCD983115 LLZ983115 LVV983115 MFR983115 MPN983115 MZJ983115 NJF983115 NTB983115 OCX983115 OMT983115 OWP983115 PGL983115 PQH983115 QAD983115 QJZ983115 QTV983115 RDR983115 RNN983115 RXJ983115 SHF983115 SRB983115 TAX983115 TKT983115 TUP983115 UEL983115 UOH983115 UYD983115 VHZ983115 VRV983115 WBR983115 WLN983115" xr:uid="{00000000-0002-0000-0000-000003000000}">
      <formula1>"Mensual Anticipado,Mensual Vencido, Trimestral, Semestral, Anual"</formula1>
    </dataValidation>
    <dataValidation type="list" allowBlank="1" showInputMessage="1" showErrorMessage="1" sqref="B5 IX5 ST5 ACP5 AML5 AWH5 BGD5 BPZ5 BZV5 CJR5 CTN5 DDJ5 DNF5 DXB5 EGX5 EQT5 FAP5 FKL5 FUH5 GED5 GNZ5 GXV5 HHR5 HRN5 IBJ5 ILF5 IVB5 JEX5 JOT5 JYP5 KIL5 KSH5 LCD5 LLZ5 LVV5 MFR5 MPN5 MZJ5 NJF5 NTB5 OCX5 OMT5 OWP5 PGL5 PQH5 QAD5 QJZ5 QTV5 RDR5 RNN5 RXJ5 SHF5 SRB5 TAX5 TKT5 TUP5 UEL5 UOH5 UYD5 VHZ5 VRV5 WBR5 WLN5 WVJ5 B65540 IX65540 ST65540 ACP65540 AML65540 AWH65540 BGD65540 BPZ65540 BZV65540 CJR65540 CTN65540 DDJ65540 DNF65540 DXB65540 EGX65540 EQT65540 FAP65540 FKL65540 FUH65540 GED65540 GNZ65540 GXV65540 HHR65540 HRN65540 IBJ65540 ILF65540 IVB65540 JEX65540 JOT65540 JYP65540 KIL65540 KSH65540 LCD65540 LLZ65540 LVV65540 MFR65540 MPN65540 MZJ65540 NJF65540 NTB65540 OCX65540 OMT65540 OWP65540 PGL65540 PQH65540 QAD65540 QJZ65540 QTV65540 RDR65540 RNN65540 RXJ65540 SHF65540 SRB65540 TAX65540 TKT65540 TUP65540 UEL65540 UOH65540 UYD65540 VHZ65540 VRV65540 WBR65540 WLN65540 WVJ65540 B131076 IX131076 ST131076 ACP131076 AML131076 AWH131076 BGD131076 BPZ131076 BZV131076 CJR131076 CTN131076 DDJ131076 DNF131076 DXB131076 EGX131076 EQT131076 FAP131076 FKL131076 FUH131076 GED131076 GNZ131076 GXV131076 HHR131076 HRN131076 IBJ131076 ILF131076 IVB131076 JEX131076 JOT131076 JYP131076 KIL131076 KSH131076 LCD131076 LLZ131076 LVV131076 MFR131076 MPN131076 MZJ131076 NJF131076 NTB131076 OCX131076 OMT131076 OWP131076 PGL131076 PQH131076 QAD131076 QJZ131076 QTV131076 RDR131076 RNN131076 RXJ131076 SHF131076 SRB131076 TAX131076 TKT131076 TUP131076 UEL131076 UOH131076 UYD131076 VHZ131076 VRV131076 WBR131076 WLN131076 WVJ131076 B196612 IX196612 ST196612 ACP196612 AML196612 AWH196612 BGD196612 BPZ196612 BZV196612 CJR196612 CTN196612 DDJ196612 DNF196612 DXB196612 EGX196612 EQT196612 FAP196612 FKL196612 FUH196612 GED196612 GNZ196612 GXV196612 HHR196612 HRN196612 IBJ196612 ILF196612 IVB196612 JEX196612 JOT196612 JYP196612 KIL196612 KSH196612 LCD196612 LLZ196612 LVV196612 MFR196612 MPN196612 MZJ196612 NJF196612 NTB196612 OCX196612 OMT196612 OWP196612 PGL196612 PQH196612 QAD196612 QJZ196612 QTV196612 RDR196612 RNN196612 RXJ196612 SHF196612 SRB196612 TAX196612 TKT196612 TUP196612 UEL196612 UOH196612 UYD196612 VHZ196612 VRV196612 WBR196612 WLN196612 WVJ196612 B262148 IX262148 ST262148 ACP262148 AML262148 AWH262148 BGD262148 BPZ262148 BZV262148 CJR262148 CTN262148 DDJ262148 DNF262148 DXB262148 EGX262148 EQT262148 FAP262148 FKL262148 FUH262148 GED262148 GNZ262148 GXV262148 HHR262148 HRN262148 IBJ262148 ILF262148 IVB262148 JEX262148 JOT262148 JYP262148 KIL262148 KSH262148 LCD262148 LLZ262148 LVV262148 MFR262148 MPN262148 MZJ262148 NJF262148 NTB262148 OCX262148 OMT262148 OWP262148 PGL262148 PQH262148 QAD262148 QJZ262148 QTV262148 RDR262148 RNN262148 RXJ262148 SHF262148 SRB262148 TAX262148 TKT262148 TUP262148 UEL262148 UOH262148 UYD262148 VHZ262148 VRV262148 WBR262148 WLN262148 WVJ262148 B327684 IX327684 ST327684 ACP327684 AML327684 AWH327684 BGD327684 BPZ327684 BZV327684 CJR327684 CTN327684 DDJ327684 DNF327684 DXB327684 EGX327684 EQT327684 FAP327684 FKL327684 FUH327684 GED327684 GNZ327684 GXV327684 HHR327684 HRN327684 IBJ327684 ILF327684 IVB327684 JEX327684 JOT327684 JYP327684 KIL327684 KSH327684 LCD327684 LLZ327684 LVV327684 MFR327684 MPN327684 MZJ327684 NJF327684 NTB327684 OCX327684 OMT327684 OWP327684 PGL327684 PQH327684 QAD327684 QJZ327684 QTV327684 RDR327684 RNN327684 RXJ327684 SHF327684 SRB327684 TAX327684 TKT327684 TUP327684 UEL327684 UOH327684 UYD327684 VHZ327684 VRV327684 WBR327684 WLN327684 WVJ327684 B393220 IX393220 ST393220 ACP393220 AML393220 AWH393220 BGD393220 BPZ393220 BZV393220 CJR393220 CTN393220 DDJ393220 DNF393220 DXB393220 EGX393220 EQT393220 FAP393220 FKL393220 FUH393220 GED393220 GNZ393220 GXV393220 HHR393220 HRN393220 IBJ393220 ILF393220 IVB393220 JEX393220 JOT393220 JYP393220 KIL393220 KSH393220 LCD393220 LLZ393220 LVV393220 MFR393220 MPN393220 MZJ393220 NJF393220 NTB393220 OCX393220 OMT393220 OWP393220 PGL393220 PQH393220 QAD393220 QJZ393220 QTV393220 RDR393220 RNN393220 RXJ393220 SHF393220 SRB393220 TAX393220 TKT393220 TUP393220 UEL393220 UOH393220 UYD393220 VHZ393220 VRV393220 WBR393220 WLN393220 WVJ393220 B458756 IX458756 ST458756 ACP458756 AML458756 AWH458756 BGD458756 BPZ458756 BZV458756 CJR458756 CTN458756 DDJ458756 DNF458756 DXB458756 EGX458756 EQT458756 FAP458756 FKL458756 FUH458756 GED458756 GNZ458756 GXV458756 HHR458756 HRN458756 IBJ458756 ILF458756 IVB458756 JEX458756 JOT458756 JYP458756 KIL458756 KSH458756 LCD458756 LLZ458756 LVV458756 MFR458756 MPN458756 MZJ458756 NJF458756 NTB458756 OCX458756 OMT458756 OWP458756 PGL458756 PQH458756 QAD458756 QJZ458756 QTV458756 RDR458756 RNN458756 RXJ458756 SHF458756 SRB458756 TAX458756 TKT458756 TUP458756 UEL458756 UOH458756 UYD458756 VHZ458756 VRV458756 WBR458756 WLN458756 WVJ458756 B524292 IX524292 ST524292 ACP524292 AML524292 AWH524292 BGD524292 BPZ524292 BZV524292 CJR524292 CTN524292 DDJ524292 DNF524292 DXB524292 EGX524292 EQT524292 FAP524292 FKL524292 FUH524292 GED524292 GNZ524292 GXV524292 HHR524292 HRN524292 IBJ524292 ILF524292 IVB524292 JEX524292 JOT524292 JYP524292 KIL524292 KSH524292 LCD524292 LLZ524292 LVV524292 MFR524292 MPN524292 MZJ524292 NJF524292 NTB524292 OCX524292 OMT524292 OWP524292 PGL524292 PQH524292 QAD524292 QJZ524292 QTV524292 RDR524292 RNN524292 RXJ524292 SHF524292 SRB524292 TAX524292 TKT524292 TUP524292 UEL524292 UOH524292 UYD524292 VHZ524292 VRV524292 WBR524292 WLN524292 WVJ524292 B589828 IX589828 ST589828 ACP589828 AML589828 AWH589828 BGD589828 BPZ589828 BZV589828 CJR589828 CTN589828 DDJ589828 DNF589828 DXB589828 EGX589828 EQT589828 FAP589828 FKL589828 FUH589828 GED589828 GNZ589828 GXV589828 HHR589828 HRN589828 IBJ589828 ILF589828 IVB589828 JEX589828 JOT589828 JYP589828 KIL589828 KSH589828 LCD589828 LLZ589828 LVV589828 MFR589828 MPN589828 MZJ589828 NJF589828 NTB589828 OCX589828 OMT589828 OWP589828 PGL589828 PQH589828 QAD589828 QJZ589828 QTV589828 RDR589828 RNN589828 RXJ589828 SHF589828 SRB589828 TAX589828 TKT589828 TUP589828 UEL589828 UOH589828 UYD589828 VHZ589828 VRV589828 WBR589828 WLN589828 WVJ589828 B655364 IX655364 ST655364 ACP655364 AML655364 AWH655364 BGD655364 BPZ655364 BZV655364 CJR655364 CTN655364 DDJ655364 DNF655364 DXB655364 EGX655364 EQT655364 FAP655364 FKL655364 FUH655364 GED655364 GNZ655364 GXV655364 HHR655364 HRN655364 IBJ655364 ILF655364 IVB655364 JEX655364 JOT655364 JYP655364 KIL655364 KSH655364 LCD655364 LLZ655364 LVV655364 MFR655364 MPN655364 MZJ655364 NJF655364 NTB655364 OCX655364 OMT655364 OWP655364 PGL655364 PQH655364 QAD655364 QJZ655364 QTV655364 RDR655364 RNN655364 RXJ655364 SHF655364 SRB655364 TAX655364 TKT655364 TUP655364 UEL655364 UOH655364 UYD655364 VHZ655364 VRV655364 WBR655364 WLN655364 WVJ655364 B720900 IX720900 ST720900 ACP720900 AML720900 AWH720900 BGD720900 BPZ720900 BZV720900 CJR720900 CTN720900 DDJ720900 DNF720900 DXB720900 EGX720900 EQT720900 FAP720900 FKL720900 FUH720900 GED720900 GNZ720900 GXV720900 HHR720900 HRN720900 IBJ720900 ILF720900 IVB720900 JEX720900 JOT720900 JYP720900 KIL720900 KSH720900 LCD720900 LLZ720900 LVV720900 MFR720900 MPN720900 MZJ720900 NJF720900 NTB720900 OCX720900 OMT720900 OWP720900 PGL720900 PQH720900 QAD720900 QJZ720900 QTV720900 RDR720900 RNN720900 RXJ720900 SHF720900 SRB720900 TAX720900 TKT720900 TUP720900 UEL720900 UOH720900 UYD720900 VHZ720900 VRV720900 WBR720900 WLN720900 WVJ720900 B786436 IX786436 ST786436 ACP786436 AML786436 AWH786436 BGD786436 BPZ786436 BZV786436 CJR786436 CTN786436 DDJ786436 DNF786436 DXB786436 EGX786436 EQT786436 FAP786436 FKL786436 FUH786436 GED786436 GNZ786436 GXV786436 HHR786436 HRN786436 IBJ786436 ILF786436 IVB786436 JEX786436 JOT786436 JYP786436 KIL786436 KSH786436 LCD786436 LLZ786436 LVV786436 MFR786436 MPN786436 MZJ786436 NJF786436 NTB786436 OCX786436 OMT786436 OWP786436 PGL786436 PQH786436 QAD786436 QJZ786436 QTV786436 RDR786436 RNN786436 RXJ786436 SHF786436 SRB786436 TAX786436 TKT786436 TUP786436 UEL786436 UOH786436 UYD786436 VHZ786436 VRV786436 WBR786436 WLN786436 WVJ786436 B851972 IX851972 ST851972 ACP851972 AML851972 AWH851972 BGD851972 BPZ851972 BZV851972 CJR851972 CTN851972 DDJ851972 DNF851972 DXB851972 EGX851972 EQT851972 FAP851972 FKL851972 FUH851972 GED851972 GNZ851972 GXV851972 HHR851972 HRN851972 IBJ851972 ILF851972 IVB851972 JEX851972 JOT851972 JYP851972 KIL851972 KSH851972 LCD851972 LLZ851972 LVV851972 MFR851972 MPN851972 MZJ851972 NJF851972 NTB851972 OCX851972 OMT851972 OWP851972 PGL851972 PQH851972 QAD851972 QJZ851972 QTV851972 RDR851972 RNN851972 RXJ851972 SHF851972 SRB851972 TAX851972 TKT851972 TUP851972 UEL851972 UOH851972 UYD851972 VHZ851972 VRV851972 WBR851972 WLN851972 WVJ851972 B917508 IX917508 ST917508 ACP917508 AML917508 AWH917508 BGD917508 BPZ917508 BZV917508 CJR917508 CTN917508 DDJ917508 DNF917508 DXB917508 EGX917508 EQT917508 FAP917508 FKL917508 FUH917508 GED917508 GNZ917508 GXV917508 HHR917508 HRN917508 IBJ917508 ILF917508 IVB917508 JEX917508 JOT917508 JYP917508 KIL917508 KSH917508 LCD917508 LLZ917508 LVV917508 MFR917508 MPN917508 MZJ917508 NJF917508 NTB917508 OCX917508 OMT917508 OWP917508 PGL917508 PQH917508 QAD917508 QJZ917508 QTV917508 RDR917508 RNN917508 RXJ917508 SHF917508 SRB917508 TAX917508 TKT917508 TUP917508 UEL917508 UOH917508 UYD917508 VHZ917508 VRV917508 WBR917508 WLN917508 WVJ917508 B983044 IX983044 ST983044 ACP983044 AML983044 AWH983044 BGD983044 BPZ983044 BZV983044 CJR983044 CTN983044 DDJ983044 DNF983044 DXB983044 EGX983044 EQT983044 FAP983044 FKL983044 FUH983044 GED983044 GNZ983044 GXV983044 HHR983044 HRN983044 IBJ983044 ILF983044 IVB983044 JEX983044 JOT983044 JYP983044 KIL983044 KSH983044 LCD983044 LLZ983044 LVV983044 MFR983044 MPN983044 MZJ983044 NJF983044 NTB983044 OCX983044 OMT983044 OWP983044 PGL983044 PQH983044 QAD983044 QJZ983044 QTV983044 RDR983044 RNN983044 RXJ983044 SHF983044 SRB983044 TAX983044 TKT983044 TUP983044 UEL983044 UOH983044 UYD983044 VHZ983044 VRV983044 WBR983044 WLN983044 WVJ983044" xr:uid="{00000000-0002-0000-0000-000004000000}">
      <formula1>$G$1:$G$3</formula1>
    </dataValidation>
    <dataValidation type="list" allowBlank="1" showInputMessage="1" showErrorMessage="1" sqref="B6 IX6 ST6 ACP6 AML6 AWH6 BGD6 BPZ6 BZV6 CJR6 CTN6 DDJ6 DNF6 DXB6 EGX6 EQT6 FAP6 FKL6 FUH6 GED6 GNZ6 GXV6 HHR6 HRN6 IBJ6 ILF6 IVB6 JEX6 JOT6 JYP6 KIL6 KSH6 LCD6 LLZ6 LVV6 MFR6 MPN6 MZJ6 NJF6 NTB6 OCX6 OMT6 OWP6 PGL6 PQH6 QAD6 QJZ6 QTV6 RDR6 RNN6 RXJ6 SHF6 SRB6 TAX6 TKT6 TUP6 UEL6 UOH6 UYD6 VHZ6 VRV6 WBR6 WLN6 WVJ6 B65541 IX65541 ST65541 ACP65541 AML65541 AWH65541 BGD65541 BPZ65541 BZV65541 CJR65541 CTN65541 DDJ65541 DNF65541 DXB65541 EGX65541 EQT65541 FAP65541 FKL65541 FUH65541 GED65541 GNZ65541 GXV65541 HHR65541 HRN65541 IBJ65541 ILF65541 IVB65541 JEX65541 JOT65541 JYP65541 KIL65541 KSH65541 LCD65541 LLZ65541 LVV65541 MFR65541 MPN65541 MZJ65541 NJF65541 NTB65541 OCX65541 OMT65541 OWP65541 PGL65541 PQH65541 QAD65541 QJZ65541 QTV65541 RDR65541 RNN65541 RXJ65541 SHF65541 SRB65541 TAX65541 TKT65541 TUP65541 UEL65541 UOH65541 UYD65541 VHZ65541 VRV65541 WBR65541 WLN65541 WVJ65541 B131077 IX131077 ST131077 ACP131077 AML131077 AWH131077 BGD131077 BPZ131077 BZV131077 CJR131077 CTN131077 DDJ131077 DNF131077 DXB131077 EGX131077 EQT131077 FAP131077 FKL131077 FUH131077 GED131077 GNZ131077 GXV131077 HHR131077 HRN131077 IBJ131077 ILF131077 IVB131077 JEX131077 JOT131077 JYP131077 KIL131077 KSH131077 LCD131077 LLZ131077 LVV131077 MFR131077 MPN131077 MZJ131077 NJF131077 NTB131077 OCX131077 OMT131077 OWP131077 PGL131077 PQH131077 QAD131077 QJZ131077 QTV131077 RDR131077 RNN131077 RXJ131077 SHF131077 SRB131077 TAX131077 TKT131077 TUP131077 UEL131077 UOH131077 UYD131077 VHZ131077 VRV131077 WBR131077 WLN131077 WVJ131077 B196613 IX196613 ST196613 ACP196613 AML196613 AWH196613 BGD196613 BPZ196613 BZV196613 CJR196613 CTN196613 DDJ196613 DNF196613 DXB196613 EGX196613 EQT196613 FAP196613 FKL196613 FUH196613 GED196613 GNZ196613 GXV196613 HHR196613 HRN196613 IBJ196613 ILF196613 IVB196613 JEX196613 JOT196613 JYP196613 KIL196613 KSH196613 LCD196613 LLZ196613 LVV196613 MFR196613 MPN196613 MZJ196613 NJF196613 NTB196613 OCX196613 OMT196613 OWP196613 PGL196613 PQH196613 QAD196613 QJZ196613 QTV196613 RDR196613 RNN196613 RXJ196613 SHF196613 SRB196613 TAX196613 TKT196613 TUP196613 UEL196613 UOH196613 UYD196613 VHZ196613 VRV196613 WBR196613 WLN196613 WVJ196613 B262149 IX262149 ST262149 ACP262149 AML262149 AWH262149 BGD262149 BPZ262149 BZV262149 CJR262149 CTN262149 DDJ262149 DNF262149 DXB262149 EGX262149 EQT262149 FAP262149 FKL262149 FUH262149 GED262149 GNZ262149 GXV262149 HHR262149 HRN262149 IBJ262149 ILF262149 IVB262149 JEX262149 JOT262149 JYP262149 KIL262149 KSH262149 LCD262149 LLZ262149 LVV262149 MFR262149 MPN262149 MZJ262149 NJF262149 NTB262149 OCX262149 OMT262149 OWP262149 PGL262149 PQH262149 QAD262149 QJZ262149 QTV262149 RDR262149 RNN262149 RXJ262149 SHF262149 SRB262149 TAX262149 TKT262149 TUP262149 UEL262149 UOH262149 UYD262149 VHZ262149 VRV262149 WBR262149 WLN262149 WVJ262149 B327685 IX327685 ST327685 ACP327685 AML327685 AWH327685 BGD327685 BPZ327685 BZV327685 CJR327685 CTN327685 DDJ327685 DNF327685 DXB327685 EGX327685 EQT327685 FAP327685 FKL327685 FUH327685 GED327685 GNZ327685 GXV327685 HHR327685 HRN327685 IBJ327685 ILF327685 IVB327685 JEX327685 JOT327685 JYP327685 KIL327685 KSH327685 LCD327685 LLZ327685 LVV327685 MFR327685 MPN327685 MZJ327685 NJF327685 NTB327685 OCX327685 OMT327685 OWP327685 PGL327685 PQH327685 QAD327685 QJZ327685 QTV327685 RDR327685 RNN327685 RXJ327685 SHF327685 SRB327685 TAX327685 TKT327685 TUP327685 UEL327685 UOH327685 UYD327685 VHZ327685 VRV327685 WBR327685 WLN327685 WVJ327685 B393221 IX393221 ST393221 ACP393221 AML393221 AWH393221 BGD393221 BPZ393221 BZV393221 CJR393221 CTN393221 DDJ393221 DNF393221 DXB393221 EGX393221 EQT393221 FAP393221 FKL393221 FUH393221 GED393221 GNZ393221 GXV393221 HHR393221 HRN393221 IBJ393221 ILF393221 IVB393221 JEX393221 JOT393221 JYP393221 KIL393221 KSH393221 LCD393221 LLZ393221 LVV393221 MFR393221 MPN393221 MZJ393221 NJF393221 NTB393221 OCX393221 OMT393221 OWP393221 PGL393221 PQH393221 QAD393221 QJZ393221 QTV393221 RDR393221 RNN393221 RXJ393221 SHF393221 SRB393221 TAX393221 TKT393221 TUP393221 UEL393221 UOH393221 UYD393221 VHZ393221 VRV393221 WBR393221 WLN393221 WVJ393221 B458757 IX458757 ST458757 ACP458757 AML458757 AWH458757 BGD458757 BPZ458757 BZV458757 CJR458757 CTN458757 DDJ458757 DNF458757 DXB458757 EGX458757 EQT458757 FAP458757 FKL458757 FUH458757 GED458757 GNZ458757 GXV458757 HHR458757 HRN458757 IBJ458757 ILF458757 IVB458757 JEX458757 JOT458757 JYP458757 KIL458757 KSH458757 LCD458757 LLZ458757 LVV458757 MFR458757 MPN458757 MZJ458757 NJF458757 NTB458757 OCX458757 OMT458757 OWP458757 PGL458757 PQH458757 QAD458757 QJZ458757 QTV458757 RDR458757 RNN458757 RXJ458757 SHF458757 SRB458757 TAX458757 TKT458757 TUP458757 UEL458757 UOH458757 UYD458757 VHZ458757 VRV458757 WBR458757 WLN458757 WVJ458757 B524293 IX524293 ST524293 ACP524293 AML524293 AWH524293 BGD524293 BPZ524293 BZV524293 CJR524293 CTN524293 DDJ524293 DNF524293 DXB524293 EGX524293 EQT524293 FAP524293 FKL524293 FUH524293 GED524293 GNZ524293 GXV524293 HHR524293 HRN524293 IBJ524293 ILF524293 IVB524293 JEX524293 JOT524293 JYP524293 KIL524293 KSH524293 LCD524293 LLZ524293 LVV524293 MFR524293 MPN524293 MZJ524293 NJF524293 NTB524293 OCX524293 OMT524293 OWP524293 PGL524293 PQH524293 QAD524293 QJZ524293 QTV524293 RDR524293 RNN524293 RXJ524293 SHF524293 SRB524293 TAX524293 TKT524293 TUP524293 UEL524293 UOH524293 UYD524293 VHZ524293 VRV524293 WBR524293 WLN524293 WVJ524293 B589829 IX589829 ST589829 ACP589829 AML589829 AWH589829 BGD589829 BPZ589829 BZV589829 CJR589829 CTN589829 DDJ589829 DNF589829 DXB589829 EGX589829 EQT589829 FAP589829 FKL589829 FUH589829 GED589829 GNZ589829 GXV589829 HHR589829 HRN589829 IBJ589829 ILF589829 IVB589829 JEX589829 JOT589829 JYP589829 KIL589829 KSH589829 LCD589829 LLZ589829 LVV589829 MFR589829 MPN589829 MZJ589829 NJF589829 NTB589829 OCX589829 OMT589829 OWP589829 PGL589829 PQH589829 QAD589829 QJZ589829 QTV589829 RDR589829 RNN589829 RXJ589829 SHF589829 SRB589829 TAX589829 TKT589829 TUP589829 UEL589829 UOH589829 UYD589829 VHZ589829 VRV589829 WBR589829 WLN589829 WVJ589829 B655365 IX655365 ST655365 ACP655365 AML655365 AWH655365 BGD655365 BPZ655365 BZV655365 CJR655365 CTN655365 DDJ655365 DNF655365 DXB655365 EGX655365 EQT655365 FAP655365 FKL655365 FUH655365 GED655365 GNZ655365 GXV655365 HHR655365 HRN655365 IBJ655365 ILF655365 IVB655365 JEX655365 JOT655365 JYP655365 KIL655365 KSH655365 LCD655365 LLZ655365 LVV655365 MFR655365 MPN655365 MZJ655365 NJF655365 NTB655365 OCX655365 OMT655365 OWP655365 PGL655365 PQH655365 QAD655365 QJZ655365 QTV655365 RDR655365 RNN655365 RXJ655365 SHF655365 SRB655365 TAX655365 TKT655365 TUP655365 UEL655365 UOH655365 UYD655365 VHZ655365 VRV655365 WBR655365 WLN655365 WVJ655365 B720901 IX720901 ST720901 ACP720901 AML720901 AWH720901 BGD720901 BPZ720901 BZV720901 CJR720901 CTN720901 DDJ720901 DNF720901 DXB720901 EGX720901 EQT720901 FAP720901 FKL720901 FUH720901 GED720901 GNZ720901 GXV720901 HHR720901 HRN720901 IBJ720901 ILF720901 IVB720901 JEX720901 JOT720901 JYP720901 KIL720901 KSH720901 LCD720901 LLZ720901 LVV720901 MFR720901 MPN720901 MZJ720901 NJF720901 NTB720901 OCX720901 OMT720901 OWP720901 PGL720901 PQH720901 QAD720901 QJZ720901 QTV720901 RDR720901 RNN720901 RXJ720901 SHF720901 SRB720901 TAX720901 TKT720901 TUP720901 UEL720901 UOH720901 UYD720901 VHZ720901 VRV720901 WBR720901 WLN720901 WVJ720901 B786437 IX786437 ST786437 ACP786437 AML786437 AWH786437 BGD786437 BPZ786437 BZV786437 CJR786437 CTN786437 DDJ786437 DNF786437 DXB786437 EGX786437 EQT786437 FAP786437 FKL786437 FUH786437 GED786437 GNZ786437 GXV786437 HHR786437 HRN786437 IBJ786437 ILF786437 IVB786437 JEX786437 JOT786437 JYP786437 KIL786437 KSH786437 LCD786437 LLZ786437 LVV786437 MFR786437 MPN786437 MZJ786437 NJF786437 NTB786437 OCX786437 OMT786437 OWP786437 PGL786437 PQH786437 QAD786437 QJZ786437 QTV786437 RDR786437 RNN786437 RXJ786437 SHF786437 SRB786437 TAX786437 TKT786437 TUP786437 UEL786437 UOH786437 UYD786437 VHZ786437 VRV786437 WBR786437 WLN786437 WVJ786437 B851973 IX851973 ST851973 ACP851973 AML851973 AWH851973 BGD851973 BPZ851973 BZV851973 CJR851973 CTN851973 DDJ851973 DNF851973 DXB851973 EGX851973 EQT851973 FAP851973 FKL851973 FUH851973 GED851973 GNZ851973 GXV851973 HHR851973 HRN851973 IBJ851973 ILF851973 IVB851973 JEX851973 JOT851973 JYP851973 KIL851973 KSH851973 LCD851973 LLZ851973 LVV851973 MFR851973 MPN851973 MZJ851973 NJF851973 NTB851973 OCX851973 OMT851973 OWP851973 PGL851973 PQH851973 QAD851973 QJZ851973 QTV851973 RDR851973 RNN851973 RXJ851973 SHF851973 SRB851973 TAX851973 TKT851973 TUP851973 UEL851973 UOH851973 UYD851973 VHZ851973 VRV851973 WBR851973 WLN851973 WVJ851973 B917509 IX917509 ST917509 ACP917509 AML917509 AWH917509 BGD917509 BPZ917509 BZV917509 CJR917509 CTN917509 DDJ917509 DNF917509 DXB917509 EGX917509 EQT917509 FAP917509 FKL917509 FUH917509 GED917509 GNZ917509 GXV917509 HHR917509 HRN917509 IBJ917509 ILF917509 IVB917509 JEX917509 JOT917509 JYP917509 KIL917509 KSH917509 LCD917509 LLZ917509 LVV917509 MFR917509 MPN917509 MZJ917509 NJF917509 NTB917509 OCX917509 OMT917509 OWP917509 PGL917509 PQH917509 QAD917509 QJZ917509 QTV917509 RDR917509 RNN917509 RXJ917509 SHF917509 SRB917509 TAX917509 TKT917509 TUP917509 UEL917509 UOH917509 UYD917509 VHZ917509 VRV917509 WBR917509 WLN917509 WVJ917509 B983045 IX983045 ST983045 ACP983045 AML983045 AWH983045 BGD983045 BPZ983045 BZV983045 CJR983045 CTN983045 DDJ983045 DNF983045 DXB983045 EGX983045 EQT983045 FAP983045 FKL983045 FUH983045 GED983045 GNZ983045 GXV983045 HHR983045 HRN983045 IBJ983045 ILF983045 IVB983045 JEX983045 JOT983045 JYP983045 KIL983045 KSH983045 LCD983045 LLZ983045 LVV983045 MFR983045 MPN983045 MZJ983045 NJF983045 NTB983045 OCX983045 OMT983045 OWP983045 PGL983045 PQH983045 QAD983045 QJZ983045 QTV983045 RDR983045 RNN983045 RXJ983045 SHF983045 SRB983045 TAX983045 TKT983045 TUP983045 UEL983045 UOH983045 UYD983045 VHZ983045 VRV983045 WBR983045 WLN983045 WVJ983045" xr:uid="{00000000-0002-0000-0000-000005000000}">
      <formula1>$H$1:$H$3</formula1>
    </dataValidation>
    <dataValidation allowBlank="1" showInputMessage="1" showErrorMessage="1" promptTitle="Digitar número de póliza" prompt="Digitar número de póliza" sqref="C6 IY6 SU6 ACQ6 AMM6 AWI6 BGE6 BQA6 BZW6 CJS6 CTO6 DDK6 DNG6 DXC6 EGY6 EQU6 FAQ6 FKM6 FUI6 GEE6 GOA6 GXW6 HHS6 HRO6 IBK6 ILG6 IVC6 JEY6 JOU6 JYQ6 KIM6 KSI6 LCE6 LMA6 LVW6 MFS6 MPO6 MZK6 NJG6 NTC6 OCY6 OMU6 OWQ6 PGM6 PQI6 QAE6 QKA6 QTW6 RDS6 RNO6 RXK6 SHG6 SRC6 TAY6 TKU6 TUQ6 UEM6 UOI6 UYE6 VIA6 VRW6 WBS6 WLO6 WVK6 C65541 IY65541 SU65541 ACQ65541 AMM65541 AWI65541 BGE65541 BQA65541 BZW65541 CJS65541 CTO65541 DDK65541 DNG65541 DXC65541 EGY65541 EQU65541 FAQ65541 FKM65541 FUI65541 GEE65541 GOA65541 GXW65541 HHS65541 HRO65541 IBK65541 ILG65541 IVC65541 JEY65541 JOU65541 JYQ65541 KIM65541 KSI65541 LCE65541 LMA65541 LVW65541 MFS65541 MPO65541 MZK65541 NJG65541 NTC65541 OCY65541 OMU65541 OWQ65541 PGM65541 PQI65541 QAE65541 QKA65541 QTW65541 RDS65541 RNO65541 RXK65541 SHG65541 SRC65541 TAY65541 TKU65541 TUQ65541 UEM65541 UOI65541 UYE65541 VIA65541 VRW65541 WBS65541 WLO65541 WVK65541 C131077 IY131077 SU131077 ACQ131077 AMM131077 AWI131077 BGE131077 BQA131077 BZW131077 CJS131077 CTO131077 DDK131077 DNG131077 DXC131077 EGY131077 EQU131077 FAQ131077 FKM131077 FUI131077 GEE131077 GOA131077 GXW131077 HHS131077 HRO131077 IBK131077 ILG131077 IVC131077 JEY131077 JOU131077 JYQ131077 KIM131077 KSI131077 LCE131077 LMA131077 LVW131077 MFS131077 MPO131077 MZK131077 NJG131077 NTC131077 OCY131077 OMU131077 OWQ131077 PGM131077 PQI131077 QAE131077 QKA131077 QTW131077 RDS131077 RNO131077 RXK131077 SHG131077 SRC131077 TAY131077 TKU131077 TUQ131077 UEM131077 UOI131077 UYE131077 VIA131077 VRW131077 WBS131077 WLO131077 WVK131077 C196613 IY196613 SU196613 ACQ196613 AMM196613 AWI196613 BGE196613 BQA196613 BZW196613 CJS196613 CTO196613 DDK196613 DNG196613 DXC196613 EGY196613 EQU196613 FAQ196613 FKM196613 FUI196613 GEE196613 GOA196613 GXW196613 HHS196613 HRO196613 IBK196613 ILG196613 IVC196613 JEY196613 JOU196613 JYQ196613 KIM196613 KSI196613 LCE196613 LMA196613 LVW196613 MFS196613 MPO196613 MZK196613 NJG196613 NTC196613 OCY196613 OMU196613 OWQ196613 PGM196613 PQI196613 QAE196613 QKA196613 QTW196613 RDS196613 RNO196613 RXK196613 SHG196613 SRC196613 TAY196613 TKU196613 TUQ196613 UEM196613 UOI196613 UYE196613 VIA196613 VRW196613 WBS196613 WLO196613 WVK196613 C262149 IY262149 SU262149 ACQ262149 AMM262149 AWI262149 BGE262149 BQA262149 BZW262149 CJS262149 CTO262149 DDK262149 DNG262149 DXC262149 EGY262149 EQU262149 FAQ262149 FKM262149 FUI262149 GEE262149 GOA262149 GXW262149 HHS262149 HRO262149 IBK262149 ILG262149 IVC262149 JEY262149 JOU262149 JYQ262149 KIM262149 KSI262149 LCE262149 LMA262149 LVW262149 MFS262149 MPO262149 MZK262149 NJG262149 NTC262149 OCY262149 OMU262149 OWQ262149 PGM262149 PQI262149 QAE262149 QKA262149 QTW262149 RDS262149 RNO262149 RXK262149 SHG262149 SRC262149 TAY262149 TKU262149 TUQ262149 UEM262149 UOI262149 UYE262149 VIA262149 VRW262149 WBS262149 WLO262149 WVK262149 C327685 IY327685 SU327685 ACQ327685 AMM327685 AWI327685 BGE327685 BQA327685 BZW327685 CJS327685 CTO327685 DDK327685 DNG327685 DXC327685 EGY327685 EQU327685 FAQ327685 FKM327685 FUI327685 GEE327685 GOA327685 GXW327685 HHS327685 HRO327685 IBK327685 ILG327685 IVC327685 JEY327685 JOU327685 JYQ327685 KIM327685 KSI327685 LCE327685 LMA327685 LVW327685 MFS327685 MPO327685 MZK327685 NJG327685 NTC327685 OCY327685 OMU327685 OWQ327685 PGM327685 PQI327685 QAE327685 QKA327685 QTW327685 RDS327685 RNO327685 RXK327685 SHG327685 SRC327685 TAY327685 TKU327685 TUQ327685 UEM327685 UOI327685 UYE327685 VIA327685 VRW327685 WBS327685 WLO327685 WVK327685 C393221 IY393221 SU393221 ACQ393221 AMM393221 AWI393221 BGE393221 BQA393221 BZW393221 CJS393221 CTO393221 DDK393221 DNG393221 DXC393221 EGY393221 EQU393221 FAQ393221 FKM393221 FUI393221 GEE393221 GOA393221 GXW393221 HHS393221 HRO393221 IBK393221 ILG393221 IVC393221 JEY393221 JOU393221 JYQ393221 KIM393221 KSI393221 LCE393221 LMA393221 LVW393221 MFS393221 MPO393221 MZK393221 NJG393221 NTC393221 OCY393221 OMU393221 OWQ393221 PGM393221 PQI393221 QAE393221 QKA393221 QTW393221 RDS393221 RNO393221 RXK393221 SHG393221 SRC393221 TAY393221 TKU393221 TUQ393221 UEM393221 UOI393221 UYE393221 VIA393221 VRW393221 WBS393221 WLO393221 WVK393221 C458757 IY458757 SU458757 ACQ458757 AMM458757 AWI458757 BGE458757 BQA458757 BZW458757 CJS458757 CTO458757 DDK458757 DNG458757 DXC458757 EGY458757 EQU458757 FAQ458757 FKM458757 FUI458757 GEE458757 GOA458757 GXW458757 HHS458757 HRO458757 IBK458757 ILG458757 IVC458757 JEY458757 JOU458757 JYQ458757 KIM458757 KSI458757 LCE458757 LMA458757 LVW458757 MFS458757 MPO458757 MZK458757 NJG458757 NTC458757 OCY458757 OMU458757 OWQ458757 PGM458757 PQI458757 QAE458757 QKA458757 QTW458757 RDS458757 RNO458757 RXK458757 SHG458757 SRC458757 TAY458757 TKU458757 TUQ458757 UEM458757 UOI458757 UYE458757 VIA458757 VRW458757 WBS458757 WLO458757 WVK458757 C524293 IY524293 SU524293 ACQ524293 AMM524293 AWI524293 BGE524293 BQA524293 BZW524293 CJS524293 CTO524293 DDK524293 DNG524293 DXC524293 EGY524293 EQU524293 FAQ524293 FKM524293 FUI524293 GEE524293 GOA524293 GXW524293 HHS524293 HRO524293 IBK524293 ILG524293 IVC524293 JEY524293 JOU524293 JYQ524293 KIM524293 KSI524293 LCE524293 LMA524293 LVW524293 MFS524293 MPO524293 MZK524293 NJG524293 NTC524293 OCY524293 OMU524293 OWQ524293 PGM524293 PQI524293 QAE524293 QKA524293 QTW524293 RDS524293 RNO524293 RXK524293 SHG524293 SRC524293 TAY524293 TKU524293 TUQ524293 UEM524293 UOI524293 UYE524293 VIA524293 VRW524293 WBS524293 WLO524293 WVK524293 C589829 IY589829 SU589829 ACQ589829 AMM589829 AWI589829 BGE589829 BQA589829 BZW589829 CJS589829 CTO589829 DDK589829 DNG589829 DXC589829 EGY589829 EQU589829 FAQ589829 FKM589829 FUI589829 GEE589829 GOA589829 GXW589829 HHS589829 HRO589829 IBK589829 ILG589829 IVC589829 JEY589829 JOU589829 JYQ589829 KIM589829 KSI589829 LCE589829 LMA589829 LVW589829 MFS589829 MPO589829 MZK589829 NJG589829 NTC589829 OCY589829 OMU589829 OWQ589829 PGM589829 PQI589829 QAE589829 QKA589829 QTW589829 RDS589829 RNO589829 RXK589829 SHG589829 SRC589829 TAY589829 TKU589829 TUQ589829 UEM589829 UOI589829 UYE589829 VIA589829 VRW589829 WBS589829 WLO589829 WVK589829 C655365 IY655365 SU655365 ACQ655365 AMM655365 AWI655365 BGE655365 BQA655365 BZW655365 CJS655365 CTO655365 DDK655365 DNG655365 DXC655365 EGY655365 EQU655365 FAQ655365 FKM655365 FUI655365 GEE655365 GOA655365 GXW655365 HHS655365 HRO655365 IBK655365 ILG655365 IVC655365 JEY655365 JOU655365 JYQ655365 KIM655365 KSI655365 LCE655365 LMA655365 LVW655365 MFS655365 MPO655365 MZK655365 NJG655365 NTC655365 OCY655365 OMU655365 OWQ655365 PGM655365 PQI655365 QAE655365 QKA655365 QTW655365 RDS655365 RNO655365 RXK655365 SHG655365 SRC655365 TAY655365 TKU655365 TUQ655365 UEM655365 UOI655365 UYE655365 VIA655365 VRW655365 WBS655365 WLO655365 WVK655365 C720901 IY720901 SU720901 ACQ720901 AMM720901 AWI720901 BGE720901 BQA720901 BZW720901 CJS720901 CTO720901 DDK720901 DNG720901 DXC720901 EGY720901 EQU720901 FAQ720901 FKM720901 FUI720901 GEE720901 GOA720901 GXW720901 HHS720901 HRO720901 IBK720901 ILG720901 IVC720901 JEY720901 JOU720901 JYQ720901 KIM720901 KSI720901 LCE720901 LMA720901 LVW720901 MFS720901 MPO720901 MZK720901 NJG720901 NTC720901 OCY720901 OMU720901 OWQ720901 PGM720901 PQI720901 QAE720901 QKA720901 QTW720901 RDS720901 RNO720901 RXK720901 SHG720901 SRC720901 TAY720901 TKU720901 TUQ720901 UEM720901 UOI720901 UYE720901 VIA720901 VRW720901 WBS720901 WLO720901 WVK720901 C786437 IY786437 SU786437 ACQ786437 AMM786437 AWI786437 BGE786437 BQA786437 BZW786437 CJS786437 CTO786437 DDK786437 DNG786437 DXC786437 EGY786437 EQU786437 FAQ786437 FKM786437 FUI786437 GEE786437 GOA786437 GXW786437 HHS786437 HRO786437 IBK786437 ILG786437 IVC786437 JEY786437 JOU786437 JYQ786437 KIM786437 KSI786437 LCE786437 LMA786437 LVW786437 MFS786437 MPO786437 MZK786437 NJG786437 NTC786437 OCY786437 OMU786437 OWQ786437 PGM786437 PQI786437 QAE786437 QKA786437 QTW786437 RDS786437 RNO786437 RXK786437 SHG786437 SRC786437 TAY786437 TKU786437 TUQ786437 UEM786437 UOI786437 UYE786437 VIA786437 VRW786437 WBS786437 WLO786437 WVK786437 C851973 IY851973 SU851973 ACQ851973 AMM851973 AWI851973 BGE851973 BQA851973 BZW851973 CJS851973 CTO851973 DDK851973 DNG851973 DXC851973 EGY851973 EQU851973 FAQ851973 FKM851973 FUI851973 GEE851973 GOA851973 GXW851973 HHS851973 HRO851973 IBK851973 ILG851973 IVC851973 JEY851973 JOU851973 JYQ851973 KIM851973 KSI851973 LCE851973 LMA851973 LVW851973 MFS851973 MPO851973 MZK851973 NJG851973 NTC851973 OCY851973 OMU851973 OWQ851973 PGM851973 PQI851973 QAE851973 QKA851973 QTW851973 RDS851973 RNO851973 RXK851973 SHG851973 SRC851973 TAY851973 TKU851973 TUQ851973 UEM851973 UOI851973 UYE851973 VIA851973 VRW851973 WBS851973 WLO851973 WVK851973 C917509 IY917509 SU917509 ACQ917509 AMM917509 AWI917509 BGE917509 BQA917509 BZW917509 CJS917509 CTO917509 DDK917509 DNG917509 DXC917509 EGY917509 EQU917509 FAQ917509 FKM917509 FUI917509 GEE917509 GOA917509 GXW917509 HHS917509 HRO917509 IBK917509 ILG917509 IVC917509 JEY917509 JOU917509 JYQ917509 KIM917509 KSI917509 LCE917509 LMA917509 LVW917509 MFS917509 MPO917509 MZK917509 NJG917509 NTC917509 OCY917509 OMU917509 OWQ917509 PGM917509 PQI917509 QAE917509 QKA917509 QTW917509 RDS917509 RNO917509 RXK917509 SHG917509 SRC917509 TAY917509 TKU917509 TUQ917509 UEM917509 UOI917509 UYE917509 VIA917509 VRW917509 WBS917509 WLO917509 WVK917509 C983045 IY983045 SU983045 ACQ983045 AMM983045 AWI983045 BGE983045 BQA983045 BZW983045 CJS983045 CTO983045 DDK983045 DNG983045 DXC983045 EGY983045 EQU983045 FAQ983045 FKM983045 FUI983045 GEE983045 GOA983045 GXW983045 HHS983045 HRO983045 IBK983045 ILG983045 IVC983045 JEY983045 JOU983045 JYQ983045 KIM983045 KSI983045 LCE983045 LMA983045 LVW983045 MFS983045 MPO983045 MZK983045 NJG983045 NTC983045 OCY983045 OMU983045 OWQ983045 PGM983045 PQI983045 QAE983045 QKA983045 QTW983045 RDS983045 RNO983045 RXK983045 SHG983045 SRC983045 TAY983045 TKU983045 TUQ983045 UEM983045 UOI983045 UYE983045 VIA983045 VRW983045 WBS983045 WLO983045 WVK983045" xr:uid="{00000000-0002-0000-0000-000006000000}"/>
    <dataValidation type="list" allowBlank="1" showInputMessage="1" showErrorMessage="1" sqref="B56:B64 IX56:IX64 ST56:ST64 ACP56:ACP64 AML56:AML64 AWH56:AWH64 BGD56:BGD64 BPZ56:BPZ64 BZV56:BZV64 CJR56:CJR64 CTN56:CTN64 DDJ56:DDJ64 DNF56:DNF64 DXB56:DXB64 EGX56:EGX64 EQT56:EQT64 FAP56:FAP64 FKL56:FKL64 FUH56:FUH64 GED56:GED64 GNZ56:GNZ64 GXV56:GXV64 HHR56:HHR64 HRN56:HRN64 IBJ56:IBJ64 ILF56:ILF64 IVB56:IVB64 JEX56:JEX64 JOT56:JOT64 JYP56:JYP64 KIL56:KIL64 KSH56:KSH64 LCD56:LCD64 LLZ56:LLZ64 LVV56:LVV64 MFR56:MFR64 MPN56:MPN64 MZJ56:MZJ64 NJF56:NJF64 NTB56:NTB64 OCX56:OCX64 OMT56:OMT64 OWP56:OWP64 PGL56:PGL64 PQH56:PQH64 QAD56:QAD64 QJZ56:QJZ64 QTV56:QTV64 RDR56:RDR64 RNN56:RNN64 RXJ56:RXJ64 SHF56:SHF64 SRB56:SRB64 TAX56:TAX64 TKT56:TKT64 TUP56:TUP64 UEL56:UEL64 UOH56:UOH64 UYD56:UYD64 VHZ56:VHZ64 VRV56:VRV64 WBR56:WBR64 WLN56:WLN64 WVJ56:WVJ64 B65589:B65597 IX65589:IX65597 ST65589:ST65597 ACP65589:ACP65597 AML65589:AML65597 AWH65589:AWH65597 BGD65589:BGD65597 BPZ65589:BPZ65597 BZV65589:BZV65597 CJR65589:CJR65597 CTN65589:CTN65597 DDJ65589:DDJ65597 DNF65589:DNF65597 DXB65589:DXB65597 EGX65589:EGX65597 EQT65589:EQT65597 FAP65589:FAP65597 FKL65589:FKL65597 FUH65589:FUH65597 GED65589:GED65597 GNZ65589:GNZ65597 GXV65589:GXV65597 HHR65589:HHR65597 HRN65589:HRN65597 IBJ65589:IBJ65597 ILF65589:ILF65597 IVB65589:IVB65597 JEX65589:JEX65597 JOT65589:JOT65597 JYP65589:JYP65597 KIL65589:KIL65597 KSH65589:KSH65597 LCD65589:LCD65597 LLZ65589:LLZ65597 LVV65589:LVV65597 MFR65589:MFR65597 MPN65589:MPN65597 MZJ65589:MZJ65597 NJF65589:NJF65597 NTB65589:NTB65597 OCX65589:OCX65597 OMT65589:OMT65597 OWP65589:OWP65597 PGL65589:PGL65597 PQH65589:PQH65597 QAD65589:QAD65597 QJZ65589:QJZ65597 QTV65589:QTV65597 RDR65589:RDR65597 RNN65589:RNN65597 RXJ65589:RXJ65597 SHF65589:SHF65597 SRB65589:SRB65597 TAX65589:TAX65597 TKT65589:TKT65597 TUP65589:TUP65597 UEL65589:UEL65597 UOH65589:UOH65597 UYD65589:UYD65597 VHZ65589:VHZ65597 VRV65589:VRV65597 WBR65589:WBR65597 WLN65589:WLN65597 WVJ65589:WVJ65597 B131125:B131133 IX131125:IX131133 ST131125:ST131133 ACP131125:ACP131133 AML131125:AML131133 AWH131125:AWH131133 BGD131125:BGD131133 BPZ131125:BPZ131133 BZV131125:BZV131133 CJR131125:CJR131133 CTN131125:CTN131133 DDJ131125:DDJ131133 DNF131125:DNF131133 DXB131125:DXB131133 EGX131125:EGX131133 EQT131125:EQT131133 FAP131125:FAP131133 FKL131125:FKL131133 FUH131125:FUH131133 GED131125:GED131133 GNZ131125:GNZ131133 GXV131125:GXV131133 HHR131125:HHR131133 HRN131125:HRN131133 IBJ131125:IBJ131133 ILF131125:ILF131133 IVB131125:IVB131133 JEX131125:JEX131133 JOT131125:JOT131133 JYP131125:JYP131133 KIL131125:KIL131133 KSH131125:KSH131133 LCD131125:LCD131133 LLZ131125:LLZ131133 LVV131125:LVV131133 MFR131125:MFR131133 MPN131125:MPN131133 MZJ131125:MZJ131133 NJF131125:NJF131133 NTB131125:NTB131133 OCX131125:OCX131133 OMT131125:OMT131133 OWP131125:OWP131133 PGL131125:PGL131133 PQH131125:PQH131133 QAD131125:QAD131133 QJZ131125:QJZ131133 QTV131125:QTV131133 RDR131125:RDR131133 RNN131125:RNN131133 RXJ131125:RXJ131133 SHF131125:SHF131133 SRB131125:SRB131133 TAX131125:TAX131133 TKT131125:TKT131133 TUP131125:TUP131133 UEL131125:UEL131133 UOH131125:UOH131133 UYD131125:UYD131133 VHZ131125:VHZ131133 VRV131125:VRV131133 WBR131125:WBR131133 WLN131125:WLN131133 WVJ131125:WVJ131133 B196661:B196669 IX196661:IX196669 ST196661:ST196669 ACP196661:ACP196669 AML196661:AML196669 AWH196661:AWH196669 BGD196661:BGD196669 BPZ196661:BPZ196669 BZV196661:BZV196669 CJR196661:CJR196669 CTN196661:CTN196669 DDJ196661:DDJ196669 DNF196661:DNF196669 DXB196661:DXB196669 EGX196661:EGX196669 EQT196661:EQT196669 FAP196661:FAP196669 FKL196661:FKL196669 FUH196661:FUH196669 GED196661:GED196669 GNZ196661:GNZ196669 GXV196661:GXV196669 HHR196661:HHR196669 HRN196661:HRN196669 IBJ196661:IBJ196669 ILF196661:ILF196669 IVB196661:IVB196669 JEX196661:JEX196669 JOT196661:JOT196669 JYP196661:JYP196669 KIL196661:KIL196669 KSH196661:KSH196669 LCD196661:LCD196669 LLZ196661:LLZ196669 LVV196661:LVV196669 MFR196661:MFR196669 MPN196661:MPN196669 MZJ196661:MZJ196669 NJF196661:NJF196669 NTB196661:NTB196669 OCX196661:OCX196669 OMT196661:OMT196669 OWP196661:OWP196669 PGL196661:PGL196669 PQH196661:PQH196669 QAD196661:QAD196669 QJZ196661:QJZ196669 QTV196661:QTV196669 RDR196661:RDR196669 RNN196661:RNN196669 RXJ196661:RXJ196669 SHF196661:SHF196669 SRB196661:SRB196669 TAX196661:TAX196669 TKT196661:TKT196669 TUP196661:TUP196669 UEL196661:UEL196669 UOH196661:UOH196669 UYD196661:UYD196669 VHZ196661:VHZ196669 VRV196661:VRV196669 WBR196661:WBR196669 WLN196661:WLN196669 WVJ196661:WVJ196669 B262197:B262205 IX262197:IX262205 ST262197:ST262205 ACP262197:ACP262205 AML262197:AML262205 AWH262197:AWH262205 BGD262197:BGD262205 BPZ262197:BPZ262205 BZV262197:BZV262205 CJR262197:CJR262205 CTN262197:CTN262205 DDJ262197:DDJ262205 DNF262197:DNF262205 DXB262197:DXB262205 EGX262197:EGX262205 EQT262197:EQT262205 FAP262197:FAP262205 FKL262197:FKL262205 FUH262197:FUH262205 GED262197:GED262205 GNZ262197:GNZ262205 GXV262197:GXV262205 HHR262197:HHR262205 HRN262197:HRN262205 IBJ262197:IBJ262205 ILF262197:ILF262205 IVB262197:IVB262205 JEX262197:JEX262205 JOT262197:JOT262205 JYP262197:JYP262205 KIL262197:KIL262205 KSH262197:KSH262205 LCD262197:LCD262205 LLZ262197:LLZ262205 LVV262197:LVV262205 MFR262197:MFR262205 MPN262197:MPN262205 MZJ262197:MZJ262205 NJF262197:NJF262205 NTB262197:NTB262205 OCX262197:OCX262205 OMT262197:OMT262205 OWP262197:OWP262205 PGL262197:PGL262205 PQH262197:PQH262205 QAD262197:QAD262205 QJZ262197:QJZ262205 QTV262197:QTV262205 RDR262197:RDR262205 RNN262197:RNN262205 RXJ262197:RXJ262205 SHF262197:SHF262205 SRB262197:SRB262205 TAX262197:TAX262205 TKT262197:TKT262205 TUP262197:TUP262205 UEL262197:UEL262205 UOH262197:UOH262205 UYD262197:UYD262205 VHZ262197:VHZ262205 VRV262197:VRV262205 WBR262197:WBR262205 WLN262197:WLN262205 WVJ262197:WVJ262205 B327733:B327741 IX327733:IX327741 ST327733:ST327741 ACP327733:ACP327741 AML327733:AML327741 AWH327733:AWH327741 BGD327733:BGD327741 BPZ327733:BPZ327741 BZV327733:BZV327741 CJR327733:CJR327741 CTN327733:CTN327741 DDJ327733:DDJ327741 DNF327733:DNF327741 DXB327733:DXB327741 EGX327733:EGX327741 EQT327733:EQT327741 FAP327733:FAP327741 FKL327733:FKL327741 FUH327733:FUH327741 GED327733:GED327741 GNZ327733:GNZ327741 GXV327733:GXV327741 HHR327733:HHR327741 HRN327733:HRN327741 IBJ327733:IBJ327741 ILF327733:ILF327741 IVB327733:IVB327741 JEX327733:JEX327741 JOT327733:JOT327741 JYP327733:JYP327741 KIL327733:KIL327741 KSH327733:KSH327741 LCD327733:LCD327741 LLZ327733:LLZ327741 LVV327733:LVV327741 MFR327733:MFR327741 MPN327733:MPN327741 MZJ327733:MZJ327741 NJF327733:NJF327741 NTB327733:NTB327741 OCX327733:OCX327741 OMT327733:OMT327741 OWP327733:OWP327741 PGL327733:PGL327741 PQH327733:PQH327741 QAD327733:QAD327741 QJZ327733:QJZ327741 QTV327733:QTV327741 RDR327733:RDR327741 RNN327733:RNN327741 RXJ327733:RXJ327741 SHF327733:SHF327741 SRB327733:SRB327741 TAX327733:TAX327741 TKT327733:TKT327741 TUP327733:TUP327741 UEL327733:UEL327741 UOH327733:UOH327741 UYD327733:UYD327741 VHZ327733:VHZ327741 VRV327733:VRV327741 WBR327733:WBR327741 WLN327733:WLN327741 WVJ327733:WVJ327741 B393269:B393277 IX393269:IX393277 ST393269:ST393277 ACP393269:ACP393277 AML393269:AML393277 AWH393269:AWH393277 BGD393269:BGD393277 BPZ393269:BPZ393277 BZV393269:BZV393277 CJR393269:CJR393277 CTN393269:CTN393277 DDJ393269:DDJ393277 DNF393269:DNF393277 DXB393269:DXB393277 EGX393269:EGX393277 EQT393269:EQT393277 FAP393269:FAP393277 FKL393269:FKL393277 FUH393269:FUH393277 GED393269:GED393277 GNZ393269:GNZ393277 GXV393269:GXV393277 HHR393269:HHR393277 HRN393269:HRN393277 IBJ393269:IBJ393277 ILF393269:ILF393277 IVB393269:IVB393277 JEX393269:JEX393277 JOT393269:JOT393277 JYP393269:JYP393277 KIL393269:KIL393277 KSH393269:KSH393277 LCD393269:LCD393277 LLZ393269:LLZ393277 LVV393269:LVV393277 MFR393269:MFR393277 MPN393269:MPN393277 MZJ393269:MZJ393277 NJF393269:NJF393277 NTB393269:NTB393277 OCX393269:OCX393277 OMT393269:OMT393277 OWP393269:OWP393277 PGL393269:PGL393277 PQH393269:PQH393277 QAD393269:QAD393277 QJZ393269:QJZ393277 QTV393269:QTV393277 RDR393269:RDR393277 RNN393269:RNN393277 RXJ393269:RXJ393277 SHF393269:SHF393277 SRB393269:SRB393277 TAX393269:TAX393277 TKT393269:TKT393277 TUP393269:TUP393277 UEL393269:UEL393277 UOH393269:UOH393277 UYD393269:UYD393277 VHZ393269:VHZ393277 VRV393269:VRV393277 WBR393269:WBR393277 WLN393269:WLN393277 WVJ393269:WVJ393277 B458805:B458813 IX458805:IX458813 ST458805:ST458813 ACP458805:ACP458813 AML458805:AML458813 AWH458805:AWH458813 BGD458805:BGD458813 BPZ458805:BPZ458813 BZV458805:BZV458813 CJR458805:CJR458813 CTN458805:CTN458813 DDJ458805:DDJ458813 DNF458805:DNF458813 DXB458805:DXB458813 EGX458805:EGX458813 EQT458805:EQT458813 FAP458805:FAP458813 FKL458805:FKL458813 FUH458805:FUH458813 GED458805:GED458813 GNZ458805:GNZ458813 GXV458805:GXV458813 HHR458805:HHR458813 HRN458805:HRN458813 IBJ458805:IBJ458813 ILF458805:ILF458813 IVB458805:IVB458813 JEX458805:JEX458813 JOT458805:JOT458813 JYP458805:JYP458813 KIL458805:KIL458813 KSH458805:KSH458813 LCD458805:LCD458813 LLZ458805:LLZ458813 LVV458805:LVV458813 MFR458805:MFR458813 MPN458805:MPN458813 MZJ458805:MZJ458813 NJF458805:NJF458813 NTB458805:NTB458813 OCX458805:OCX458813 OMT458805:OMT458813 OWP458805:OWP458813 PGL458805:PGL458813 PQH458805:PQH458813 QAD458805:QAD458813 QJZ458805:QJZ458813 QTV458805:QTV458813 RDR458805:RDR458813 RNN458805:RNN458813 RXJ458805:RXJ458813 SHF458805:SHF458813 SRB458805:SRB458813 TAX458805:TAX458813 TKT458805:TKT458813 TUP458805:TUP458813 UEL458805:UEL458813 UOH458805:UOH458813 UYD458805:UYD458813 VHZ458805:VHZ458813 VRV458805:VRV458813 WBR458805:WBR458813 WLN458805:WLN458813 WVJ458805:WVJ458813 B524341:B524349 IX524341:IX524349 ST524341:ST524349 ACP524341:ACP524349 AML524341:AML524349 AWH524341:AWH524349 BGD524341:BGD524349 BPZ524341:BPZ524349 BZV524341:BZV524349 CJR524341:CJR524349 CTN524341:CTN524349 DDJ524341:DDJ524349 DNF524341:DNF524349 DXB524341:DXB524349 EGX524341:EGX524349 EQT524341:EQT524349 FAP524341:FAP524349 FKL524341:FKL524349 FUH524341:FUH524349 GED524341:GED524349 GNZ524341:GNZ524349 GXV524341:GXV524349 HHR524341:HHR524349 HRN524341:HRN524349 IBJ524341:IBJ524349 ILF524341:ILF524349 IVB524341:IVB524349 JEX524341:JEX524349 JOT524341:JOT524349 JYP524341:JYP524349 KIL524341:KIL524349 KSH524341:KSH524349 LCD524341:LCD524349 LLZ524341:LLZ524349 LVV524341:LVV524349 MFR524341:MFR524349 MPN524341:MPN524349 MZJ524341:MZJ524349 NJF524341:NJF524349 NTB524341:NTB524349 OCX524341:OCX524349 OMT524341:OMT524349 OWP524341:OWP524349 PGL524341:PGL524349 PQH524341:PQH524349 QAD524341:QAD524349 QJZ524341:QJZ524349 QTV524341:QTV524349 RDR524341:RDR524349 RNN524341:RNN524349 RXJ524341:RXJ524349 SHF524341:SHF524349 SRB524341:SRB524349 TAX524341:TAX524349 TKT524341:TKT524349 TUP524341:TUP524349 UEL524341:UEL524349 UOH524341:UOH524349 UYD524341:UYD524349 VHZ524341:VHZ524349 VRV524341:VRV524349 WBR524341:WBR524349 WLN524341:WLN524349 WVJ524341:WVJ524349 B589877:B589885 IX589877:IX589885 ST589877:ST589885 ACP589877:ACP589885 AML589877:AML589885 AWH589877:AWH589885 BGD589877:BGD589885 BPZ589877:BPZ589885 BZV589877:BZV589885 CJR589877:CJR589885 CTN589877:CTN589885 DDJ589877:DDJ589885 DNF589877:DNF589885 DXB589877:DXB589885 EGX589877:EGX589885 EQT589877:EQT589885 FAP589877:FAP589885 FKL589877:FKL589885 FUH589877:FUH589885 GED589877:GED589885 GNZ589877:GNZ589885 GXV589877:GXV589885 HHR589877:HHR589885 HRN589877:HRN589885 IBJ589877:IBJ589885 ILF589877:ILF589885 IVB589877:IVB589885 JEX589877:JEX589885 JOT589877:JOT589885 JYP589877:JYP589885 KIL589877:KIL589885 KSH589877:KSH589885 LCD589877:LCD589885 LLZ589877:LLZ589885 LVV589877:LVV589885 MFR589877:MFR589885 MPN589877:MPN589885 MZJ589877:MZJ589885 NJF589877:NJF589885 NTB589877:NTB589885 OCX589877:OCX589885 OMT589877:OMT589885 OWP589877:OWP589885 PGL589877:PGL589885 PQH589877:PQH589885 QAD589877:QAD589885 QJZ589877:QJZ589885 QTV589877:QTV589885 RDR589877:RDR589885 RNN589877:RNN589885 RXJ589877:RXJ589885 SHF589877:SHF589885 SRB589877:SRB589885 TAX589877:TAX589885 TKT589877:TKT589885 TUP589877:TUP589885 UEL589877:UEL589885 UOH589877:UOH589885 UYD589877:UYD589885 VHZ589877:VHZ589885 VRV589877:VRV589885 WBR589877:WBR589885 WLN589877:WLN589885 WVJ589877:WVJ589885 B655413:B655421 IX655413:IX655421 ST655413:ST655421 ACP655413:ACP655421 AML655413:AML655421 AWH655413:AWH655421 BGD655413:BGD655421 BPZ655413:BPZ655421 BZV655413:BZV655421 CJR655413:CJR655421 CTN655413:CTN655421 DDJ655413:DDJ655421 DNF655413:DNF655421 DXB655413:DXB655421 EGX655413:EGX655421 EQT655413:EQT655421 FAP655413:FAP655421 FKL655413:FKL655421 FUH655413:FUH655421 GED655413:GED655421 GNZ655413:GNZ655421 GXV655413:GXV655421 HHR655413:HHR655421 HRN655413:HRN655421 IBJ655413:IBJ655421 ILF655413:ILF655421 IVB655413:IVB655421 JEX655413:JEX655421 JOT655413:JOT655421 JYP655413:JYP655421 KIL655413:KIL655421 KSH655413:KSH655421 LCD655413:LCD655421 LLZ655413:LLZ655421 LVV655413:LVV655421 MFR655413:MFR655421 MPN655413:MPN655421 MZJ655413:MZJ655421 NJF655413:NJF655421 NTB655413:NTB655421 OCX655413:OCX655421 OMT655413:OMT655421 OWP655413:OWP655421 PGL655413:PGL655421 PQH655413:PQH655421 QAD655413:QAD655421 QJZ655413:QJZ655421 QTV655413:QTV655421 RDR655413:RDR655421 RNN655413:RNN655421 RXJ655413:RXJ655421 SHF655413:SHF655421 SRB655413:SRB655421 TAX655413:TAX655421 TKT655413:TKT655421 TUP655413:TUP655421 UEL655413:UEL655421 UOH655413:UOH655421 UYD655413:UYD655421 VHZ655413:VHZ655421 VRV655413:VRV655421 WBR655413:WBR655421 WLN655413:WLN655421 WVJ655413:WVJ655421 B720949:B720957 IX720949:IX720957 ST720949:ST720957 ACP720949:ACP720957 AML720949:AML720957 AWH720949:AWH720957 BGD720949:BGD720957 BPZ720949:BPZ720957 BZV720949:BZV720957 CJR720949:CJR720957 CTN720949:CTN720957 DDJ720949:DDJ720957 DNF720949:DNF720957 DXB720949:DXB720957 EGX720949:EGX720957 EQT720949:EQT720957 FAP720949:FAP720957 FKL720949:FKL720957 FUH720949:FUH720957 GED720949:GED720957 GNZ720949:GNZ720957 GXV720949:GXV720957 HHR720949:HHR720957 HRN720949:HRN720957 IBJ720949:IBJ720957 ILF720949:ILF720957 IVB720949:IVB720957 JEX720949:JEX720957 JOT720949:JOT720957 JYP720949:JYP720957 KIL720949:KIL720957 KSH720949:KSH720957 LCD720949:LCD720957 LLZ720949:LLZ720957 LVV720949:LVV720957 MFR720949:MFR720957 MPN720949:MPN720957 MZJ720949:MZJ720957 NJF720949:NJF720957 NTB720949:NTB720957 OCX720949:OCX720957 OMT720949:OMT720957 OWP720949:OWP720957 PGL720949:PGL720957 PQH720949:PQH720957 QAD720949:QAD720957 QJZ720949:QJZ720957 QTV720949:QTV720957 RDR720949:RDR720957 RNN720949:RNN720957 RXJ720949:RXJ720957 SHF720949:SHF720957 SRB720949:SRB720957 TAX720949:TAX720957 TKT720949:TKT720957 TUP720949:TUP720957 UEL720949:UEL720957 UOH720949:UOH720957 UYD720949:UYD720957 VHZ720949:VHZ720957 VRV720949:VRV720957 WBR720949:WBR720957 WLN720949:WLN720957 WVJ720949:WVJ720957 B786485:B786493 IX786485:IX786493 ST786485:ST786493 ACP786485:ACP786493 AML786485:AML786493 AWH786485:AWH786493 BGD786485:BGD786493 BPZ786485:BPZ786493 BZV786485:BZV786493 CJR786485:CJR786493 CTN786485:CTN786493 DDJ786485:DDJ786493 DNF786485:DNF786493 DXB786485:DXB786493 EGX786485:EGX786493 EQT786485:EQT786493 FAP786485:FAP786493 FKL786485:FKL786493 FUH786485:FUH786493 GED786485:GED786493 GNZ786485:GNZ786493 GXV786485:GXV786493 HHR786485:HHR786493 HRN786485:HRN786493 IBJ786485:IBJ786493 ILF786485:ILF786493 IVB786485:IVB786493 JEX786485:JEX786493 JOT786485:JOT786493 JYP786485:JYP786493 KIL786485:KIL786493 KSH786485:KSH786493 LCD786485:LCD786493 LLZ786485:LLZ786493 LVV786485:LVV786493 MFR786485:MFR786493 MPN786485:MPN786493 MZJ786485:MZJ786493 NJF786485:NJF786493 NTB786485:NTB786493 OCX786485:OCX786493 OMT786485:OMT786493 OWP786485:OWP786493 PGL786485:PGL786493 PQH786485:PQH786493 QAD786485:QAD786493 QJZ786485:QJZ786493 QTV786485:QTV786493 RDR786485:RDR786493 RNN786485:RNN786493 RXJ786485:RXJ786493 SHF786485:SHF786493 SRB786485:SRB786493 TAX786485:TAX786493 TKT786485:TKT786493 TUP786485:TUP786493 UEL786485:UEL786493 UOH786485:UOH786493 UYD786485:UYD786493 VHZ786485:VHZ786493 VRV786485:VRV786493 WBR786485:WBR786493 WLN786485:WLN786493 WVJ786485:WVJ786493 B852021:B852029 IX852021:IX852029 ST852021:ST852029 ACP852021:ACP852029 AML852021:AML852029 AWH852021:AWH852029 BGD852021:BGD852029 BPZ852021:BPZ852029 BZV852021:BZV852029 CJR852021:CJR852029 CTN852021:CTN852029 DDJ852021:DDJ852029 DNF852021:DNF852029 DXB852021:DXB852029 EGX852021:EGX852029 EQT852021:EQT852029 FAP852021:FAP852029 FKL852021:FKL852029 FUH852021:FUH852029 GED852021:GED852029 GNZ852021:GNZ852029 GXV852021:GXV852029 HHR852021:HHR852029 HRN852021:HRN852029 IBJ852021:IBJ852029 ILF852021:ILF852029 IVB852021:IVB852029 JEX852021:JEX852029 JOT852021:JOT852029 JYP852021:JYP852029 KIL852021:KIL852029 KSH852021:KSH852029 LCD852021:LCD852029 LLZ852021:LLZ852029 LVV852021:LVV852029 MFR852021:MFR852029 MPN852021:MPN852029 MZJ852021:MZJ852029 NJF852021:NJF852029 NTB852021:NTB852029 OCX852021:OCX852029 OMT852021:OMT852029 OWP852021:OWP852029 PGL852021:PGL852029 PQH852021:PQH852029 QAD852021:QAD852029 QJZ852021:QJZ852029 QTV852021:QTV852029 RDR852021:RDR852029 RNN852021:RNN852029 RXJ852021:RXJ852029 SHF852021:SHF852029 SRB852021:SRB852029 TAX852021:TAX852029 TKT852021:TKT852029 TUP852021:TUP852029 UEL852021:UEL852029 UOH852021:UOH852029 UYD852021:UYD852029 VHZ852021:VHZ852029 VRV852021:VRV852029 WBR852021:WBR852029 WLN852021:WLN852029 WVJ852021:WVJ852029 B917557:B917565 IX917557:IX917565 ST917557:ST917565 ACP917557:ACP917565 AML917557:AML917565 AWH917557:AWH917565 BGD917557:BGD917565 BPZ917557:BPZ917565 BZV917557:BZV917565 CJR917557:CJR917565 CTN917557:CTN917565 DDJ917557:DDJ917565 DNF917557:DNF917565 DXB917557:DXB917565 EGX917557:EGX917565 EQT917557:EQT917565 FAP917557:FAP917565 FKL917557:FKL917565 FUH917557:FUH917565 GED917557:GED917565 GNZ917557:GNZ917565 GXV917557:GXV917565 HHR917557:HHR917565 HRN917557:HRN917565 IBJ917557:IBJ917565 ILF917557:ILF917565 IVB917557:IVB917565 JEX917557:JEX917565 JOT917557:JOT917565 JYP917557:JYP917565 KIL917557:KIL917565 KSH917557:KSH917565 LCD917557:LCD917565 LLZ917557:LLZ917565 LVV917557:LVV917565 MFR917557:MFR917565 MPN917557:MPN917565 MZJ917557:MZJ917565 NJF917557:NJF917565 NTB917557:NTB917565 OCX917557:OCX917565 OMT917557:OMT917565 OWP917557:OWP917565 PGL917557:PGL917565 PQH917557:PQH917565 QAD917557:QAD917565 QJZ917557:QJZ917565 QTV917557:QTV917565 RDR917557:RDR917565 RNN917557:RNN917565 RXJ917557:RXJ917565 SHF917557:SHF917565 SRB917557:SRB917565 TAX917557:TAX917565 TKT917557:TKT917565 TUP917557:TUP917565 UEL917557:UEL917565 UOH917557:UOH917565 UYD917557:UYD917565 VHZ917557:VHZ917565 VRV917557:VRV917565 WBR917557:WBR917565 WLN917557:WLN917565 WVJ917557:WVJ917565 B983093:B983101 IX983093:IX983101 ST983093:ST983101 ACP983093:ACP983101 AML983093:AML983101 AWH983093:AWH983101 BGD983093:BGD983101 BPZ983093:BPZ983101 BZV983093:BZV983101 CJR983093:CJR983101 CTN983093:CTN983101 DDJ983093:DDJ983101 DNF983093:DNF983101 DXB983093:DXB983101 EGX983093:EGX983101 EQT983093:EQT983101 FAP983093:FAP983101 FKL983093:FKL983101 FUH983093:FUH983101 GED983093:GED983101 GNZ983093:GNZ983101 GXV983093:GXV983101 HHR983093:HHR983101 HRN983093:HRN983101 IBJ983093:IBJ983101 ILF983093:ILF983101 IVB983093:IVB983101 JEX983093:JEX983101 JOT983093:JOT983101 JYP983093:JYP983101 KIL983093:KIL983101 KSH983093:KSH983101 LCD983093:LCD983101 LLZ983093:LLZ983101 LVV983093:LVV983101 MFR983093:MFR983101 MPN983093:MPN983101 MZJ983093:MZJ983101 NJF983093:NJF983101 NTB983093:NTB983101 OCX983093:OCX983101 OMT983093:OMT983101 OWP983093:OWP983101 PGL983093:PGL983101 PQH983093:PQH983101 QAD983093:QAD983101 QJZ983093:QJZ983101 QTV983093:QTV983101 RDR983093:RDR983101 RNN983093:RNN983101 RXJ983093:RXJ983101 SHF983093:SHF983101 SRB983093:SRB983101 TAX983093:TAX983101 TKT983093:TKT983101 TUP983093:TUP983101 UEL983093:UEL983101 UOH983093:UOH983101 UYD983093:UYD983101 VHZ983093:VHZ983101 VRV983093:VRV983101 WBR983093:WBR983101 WLN983093:WLN983101 WVJ983093:WVJ983101 B67:B72 IX67:IX72 ST67:ST72 ACP67:ACP72 AML67:AML72 AWH67:AWH72 BGD67:BGD72 BPZ67:BPZ72 BZV67:BZV72 CJR67:CJR72 CTN67:CTN72 DDJ67:DDJ72 DNF67:DNF72 DXB67:DXB72 EGX67:EGX72 EQT67:EQT72 FAP67:FAP72 FKL67:FKL72 FUH67:FUH72 GED67:GED72 GNZ67:GNZ72 GXV67:GXV72 HHR67:HHR72 HRN67:HRN72 IBJ67:IBJ72 ILF67:ILF72 IVB67:IVB72 JEX67:JEX72 JOT67:JOT72 JYP67:JYP72 KIL67:KIL72 KSH67:KSH72 LCD67:LCD72 LLZ67:LLZ72 LVV67:LVV72 MFR67:MFR72 MPN67:MPN72 MZJ67:MZJ72 NJF67:NJF72 NTB67:NTB72 OCX67:OCX72 OMT67:OMT72 OWP67:OWP72 PGL67:PGL72 PQH67:PQH72 QAD67:QAD72 QJZ67:QJZ72 QTV67:QTV72 RDR67:RDR72 RNN67:RNN72 RXJ67:RXJ72 SHF67:SHF72 SRB67:SRB72 TAX67:TAX72 TKT67:TKT72 TUP67:TUP72 UEL67:UEL72 UOH67:UOH72 UYD67:UYD72 VHZ67:VHZ72 VRV67:VRV72 WBR67:WBR72 WLN67:WLN72 WVJ67:WVJ72 B65600:B65605 IX65600:IX65605 ST65600:ST65605 ACP65600:ACP65605 AML65600:AML65605 AWH65600:AWH65605 BGD65600:BGD65605 BPZ65600:BPZ65605 BZV65600:BZV65605 CJR65600:CJR65605 CTN65600:CTN65605 DDJ65600:DDJ65605 DNF65600:DNF65605 DXB65600:DXB65605 EGX65600:EGX65605 EQT65600:EQT65605 FAP65600:FAP65605 FKL65600:FKL65605 FUH65600:FUH65605 GED65600:GED65605 GNZ65600:GNZ65605 GXV65600:GXV65605 HHR65600:HHR65605 HRN65600:HRN65605 IBJ65600:IBJ65605 ILF65600:ILF65605 IVB65600:IVB65605 JEX65600:JEX65605 JOT65600:JOT65605 JYP65600:JYP65605 KIL65600:KIL65605 KSH65600:KSH65605 LCD65600:LCD65605 LLZ65600:LLZ65605 LVV65600:LVV65605 MFR65600:MFR65605 MPN65600:MPN65605 MZJ65600:MZJ65605 NJF65600:NJF65605 NTB65600:NTB65605 OCX65600:OCX65605 OMT65600:OMT65605 OWP65600:OWP65605 PGL65600:PGL65605 PQH65600:PQH65605 QAD65600:QAD65605 QJZ65600:QJZ65605 QTV65600:QTV65605 RDR65600:RDR65605 RNN65600:RNN65605 RXJ65600:RXJ65605 SHF65600:SHF65605 SRB65600:SRB65605 TAX65600:TAX65605 TKT65600:TKT65605 TUP65600:TUP65605 UEL65600:UEL65605 UOH65600:UOH65605 UYD65600:UYD65605 VHZ65600:VHZ65605 VRV65600:VRV65605 WBR65600:WBR65605 WLN65600:WLN65605 WVJ65600:WVJ65605 B131136:B131141 IX131136:IX131141 ST131136:ST131141 ACP131136:ACP131141 AML131136:AML131141 AWH131136:AWH131141 BGD131136:BGD131141 BPZ131136:BPZ131141 BZV131136:BZV131141 CJR131136:CJR131141 CTN131136:CTN131141 DDJ131136:DDJ131141 DNF131136:DNF131141 DXB131136:DXB131141 EGX131136:EGX131141 EQT131136:EQT131141 FAP131136:FAP131141 FKL131136:FKL131141 FUH131136:FUH131141 GED131136:GED131141 GNZ131136:GNZ131141 GXV131136:GXV131141 HHR131136:HHR131141 HRN131136:HRN131141 IBJ131136:IBJ131141 ILF131136:ILF131141 IVB131136:IVB131141 JEX131136:JEX131141 JOT131136:JOT131141 JYP131136:JYP131141 KIL131136:KIL131141 KSH131136:KSH131141 LCD131136:LCD131141 LLZ131136:LLZ131141 LVV131136:LVV131141 MFR131136:MFR131141 MPN131136:MPN131141 MZJ131136:MZJ131141 NJF131136:NJF131141 NTB131136:NTB131141 OCX131136:OCX131141 OMT131136:OMT131141 OWP131136:OWP131141 PGL131136:PGL131141 PQH131136:PQH131141 QAD131136:QAD131141 QJZ131136:QJZ131141 QTV131136:QTV131141 RDR131136:RDR131141 RNN131136:RNN131141 RXJ131136:RXJ131141 SHF131136:SHF131141 SRB131136:SRB131141 TAX131136:TAX131141 TKT131136:TKT131141 TUP131136:TUP131141 UEL131136:UEL131141 UOH131136:UOH131141 UYD131136:UYD131141 VHZ131136:VHZ131141 VRV131136:VRV131141 WBR131136:WBR131141 WLN131136:WLN131141 WVJ131136:WVJ131141 B196672:B196677 IX196672:IX196677 ST196672:ST196677 ACP196672:ACP196677 AML196672:AML196677 AWH196672:AWH196677 BGD196672:BGD196677 BPZ196672:BPZ196677 BZV196672:BZV196677 CJR196672:CJR196677 CTN196672:CTN196677 DDJ196672:DDJ196677 DNF196672:DNF196677 DXB196672:DXB196677 EGX196672:EGX196677 EQT196672:EQT196677 FAP196672:FAP196677 FKL196672:FKL196677 FUH196672:FUH196677 GED196672:GED196677 GNZ196672:GNZ196677 GXV196672:GXV196677 HHR196672:HHR196677 HRN196672:HRN196677 IBJ196672:IBJ196677 ILF196672:ILF196677 IVB196672:IVB196677 JEX196672:JEX196677 JOT196672:JOT196677 JYP196672:JYP196677 KIL196672:KIL196677 KSH196672:KSH196677 LCD196672:LCD196677 LLZ196672:LLZ196677 LVV196672:LVV196677 MFR196672:MFR196677 MPN196672:MPN196677 MZJ196672:MZJ196677 NJF196672:NJF196677 NTB196672:NTB196677 OCX196672:OCX196677 OMT196672:OMT196677 OWP196672:OWP196677 PGL196672:PGL196677 PQH196672:PQH196677 QAD196672:QAD196677 QJZ196672:QJZ196677 QTV196672:QTV196677 RDR196672:RDR196677 RNN196672:RNN196677 RXJ196672:RXJ196677 SHF196672:SHF196677 SRB196672:SRB196677 TAX196672:TAX196677 TKT196672:TKT196677 TUP196672:TUP196677 UEL196672:UEL196677 UOH196672:UOH196677 UYD196672:UYD196677 VHZ196672:VHZ196677 VRV196672:VRV196677 WBR196672:WBR196677 WLN196672:WLN196677 WVJ196672:WVJ196677 B262208:B262213 IX262208:IX262213 ST262208:ST262213 ACP262208:ACP262213 AML262208:AML262213 AWH262208:AWH262213 BGD262208:BGD262213 BPZ262208:BPZ262213 BZV262208:BZV262213 CJR262208:CJR262213 CTN262208:CTN262213 DDJ262208:DDJ262213 DNF262208:DNF262213 DXB262208:DXB262213 EGX262208:EGX262213 EQT262208:EQT262213 FAP262208:FAP262213 FKL262208:FKL262213 FUH262208:FUH262213 GED262208:GED262213 GNZ262208:GNZ262213 GXV262208:GXV262213 HHR262208:HHR262213 HRN262208:HRN262213 IBJ262208:IBJ262213 ILF262208:ILF262213 IVB262208:IVB262213 JEX262208:JEX262213 JOT262208:JOT262213 JYP262208:JYP262213 KIL262208:KIL262213 KSH262208:KSH262213 LCD262208:LCD262213 LLZ262208:LLZ262213 LVV262208:LVV262213 MFR262208:MFR262213 MPN262208:MPN262213 MZJ262208:MZJ262213 NJF262208:NJF262213 NTB262208:NTB262213 OCX262208:OCX262213 OMT262208:OMT262213 OWP262208:OWP262213 PGL262208:PGL262213 PQH262208:PQH262213 QAD262208:QAD262213 QJZ262208:QJZ262213 QTV262208:QTV262213 RDR262208:RDR262213 RNN262208:RNN262213 RXJ262208:RXJ262213 SHF262208:SHF262213 SRB262208:SRB262213 TAX262208:TAX262213 TKT262208:TKT262213 TUP262208:TUP262213 UEL262208:UEL262213 UOH262208:UOH262213 UYD262208:UYD262213 VHZ262208:VHZ262213 VRV262208:VRV262213 WBR262208:WBR262213 WLN262208:WLN262213 WVJ262208:WVJ262213 B327744:B327749 IX327744:IX327749 ST327744:ST327749 ACP327744:ACP327749 AML327744:AML327749 AWH327744:AWH327749 BGD327744:BGD327749 BPZ327744:BPZ327749 BZV327744:BZV327749 CJR327744:CJR327749 CTN327744:CTN327749 DDJ327744:DDJ327749 DNF327744:DNF327749 DXB327744:DXB327749 EGX327744:EGX327749 EQT327744:EQT327749 FAP327744:FAP327749 FKL327744:FKL327749 FUH327744:FUH327749 GED327744:GED327749 GNZ327744:GNZ327749 GXV327744:GXV327749 HHR327744:HHR327749 HRN327744:HRN327749 IBJ327744:IBJ327749 ILF327744:ILF327749 IVB327744:IVB327749 JEX327744:JEX327749 JOT327744:JOT327749 JYP327744:JYP327749 KIL327744:KIL327749 KSH327744:KSH327749 LCD327744:LCD327749 LLZ327744:LLZ327749 LVV327744:LVV327749 MFR327744:MFR327749 MPN327744:MPN327749 MZJ327744:MZJ327749 NJF327744:NJF327749 NTB327744:NTB327749 OCX327744:OCX327749 OMT327744:OMT327749 OWP327744:OWP327749 PGL327744:PGL327749 PQH327744:PQH327749 QAD327744:QAD327749 QJZ327744:QJZ327749 QTV327744:QTV327749 RDR327744:RDR327749 RNN327744:RNN327749 RXJ327744:RXJ327749 SHF327744:SHF327749 SRB327744:SRB327749 TAX327744:TAX327749 TKT327744:TKT327749 TUP327744:TUP327749 UEL327744:UEL327749 UOH327744:UOH327749 UYD327744:UYD327749 VHZ327744:VHZ327749 VRV327744:VRV327749 WBR327744:WBR327749 WLN327744:WLN327749 WVJ327744:WVJ327749 B393280:B393285 IX393280:IX393285 ST393280:ST393285 ACP393280:ACP393285 AML393280:AML393285 AWH393280:AWH393285 BGD393280:BGD393285 BPZ393280:BPZ393285 BZV393280:BZV393285 CJR393280:CJR393285 CTN393280:CTN393285 DDJ393280:DDJ393285 DNF393280:DNF393285 DXB393280:DXB393285 EGX393280:EGX393285 EQT393280:EQT393285 FAP393280:FAP393285 FKL393280:FKL393285 FUH393280:FUH393285 GED393280:GED393285 GNZ393280:GNZ393285 GXV393280:GXV393285 HHR393280:HHR393285 HRN393280:HRN393285 IBJ393280:IBJ393285 ILF393280:ILF393285 IVB393280:IVB393285 JEX393280:JEX393285 JOT393280:JOT393285 JYP393280:JYP393285 KIL393280:KIL393285 KSH393280:KSH393285 LCD393280:LCD393285 LLZ393280:LLZ393285 LVV393280:LVV393285 MFR393280:MFR393285 MPN393280:MPN393285 MZJ393280:MZJ393285 NJF393280:NJF393285 NTB393280:NTB393285 OCX393280:OCX393285 OMT393280:OMT393285 OWP393280:OWP393285 PGL393280:PGL393285 PQH393280:PQH393285 QAD393280:QAD393285 QJZ393280:QJZ393285 QTV393280:QTV393285 RDR393280:RDR393285 RNN393280:RNN393285 RXJ393280:RXJ393285 SHF393280:SHF393285 SRB393280:SRB393285 TAX393280:TAX393285 TKT393280:TKT393285 TUP393280:TUP393285 UEL393280:UEL393285 UOH393280:UOH393285 UYD393280:UYD393285 VHZ393280:VHZ393285 VRV393280:VRV393285 WBR393280:WBR393285 WLN393280:WLN393285 WVJ393280:WVJ393285 B458816:B458821 IX458816:IX458821 ST458816:ST458821 ACP458816:ACP458821 AML458816:AML458821 AWH458816:AWH458821 BGD458816:BGD458821 BPZ458816:BPZ458821 BZV458816:BZV458821 CJR458816:CJR458821 CTN458816:CTN458821 DDJ458816:DDJ458821 DNF458816:DNF458821 DXB458816:DXB458821 EGX458816:EGX458821 EQT458816:EQT458821 FAP458816:FAP458821 FKL458816:FKL458821 FUH458816:FUH458821 GED458816:GED458821 GNZ458816:GNZ458821 GXV458816:GXV458821 HHR458816:HHR458821 HRN458816:HRN458821 IBJ458816:IBJ458821 ILF458816:ILF458821 IVB458816:IVB458821 JEX458816:JEX458821 JOT458816:JOT458821 JYP458816:JYP458821 KIL458816:KIL458821 KSH458816:KSH458821 LCD458816:LCD458821 LLZ458816:LLZ458821 LVV458816:LVV458821 MFR458816:MFR458821 MPN458816:MPN458821 MZJ458816:MZJ458821 NJF458816:NJF458821 NTB458816:NTB458821 OCX458816:OCX458821 OMT458816:OMT458821 OWP458816:OWP458821 PGL458816:PGL458821 PQH458816:PQH458821 QAD458816:QAD458821 QJZ458816:QJZ458821 QTV458816:QTV458821 RDR458816:RDR458821 RNN458816:RNN458821 RXJ458816:RXJ458821 SHF458816:SHF458821 SRB458816:SRB458821 TAX458816:TAX458821 TKT458816:TKT458821 TUP458816:TUP458821 UEL458816:UEL458821 UOH458816:UOH458821 UYD458816:UYD458821 VHZ458816:VHZ458821 VRV458816:VRV458821 WBR458816:WBR458821 WLN458816:WLN458821 WVJ458816:WVJ458821 B524352:B524357 IX524352:IX524357 ST524352:ST524357 ACP524352:ACP524357 AML524352:AML524357 AWH524352:AWH524357 BGD524352:BGD524357 BPZ524352:BPZ524357 BZV524352:BZV524357 CJR524352:CJR524357 CTN524352:CTN524357 DDJ524352:DDJ524357 DNF524352:DNF524357 DXB524352:DXB524357 EGX524352:EGX524357 EQT524352:EQT524357 FAP524352:FAP524357 FKL524352:FKL524357 FUH524352:FUH524357 GED524352:GED524357 GNZ524352:GNZ524357 GXV524352:GXV524357 HHR524352:HHR524357 HRN524352:HRN524357 IBJ524352:IBJ524357 ILF524352:ILF524357 IVB524352:IVB524357 JEX524352:JEX524357 JOT524352:JOT524357 JYP524352:JYP524357 KIL524352:KIL524357 KSH524352:KSH524357 LCD524352:LCD524357 LLZ524352:LLZ524357 LVV524352:LVV524357 MFR524352:MFR524357 MPN524352:MPN524357 MZJ524352:MZJ524357 NJF524352:NJF524357 NTB524352:NTB524357 OCX524352:OCX524357 OMT524352:OMT524357 OWP524352:OWP524357 PGL524352:PGL524357 PQH524352:PQH524357 QAD524352:QAD524357 QJZ524352:QJZ524357 QTV524352:QTV524357 RDR524352:RDR524357 RNN524352:RNN524357 RXJ524352:RXJ524357 SHF524352:SHF524357 SRB524352:SRB524357 TAX524352:TAX524357 TKT524352:TKT524357 TUP524352:TUP524357 UEL524352:UEL524357 UOH524352:UOH524357 UYD524352:UYD524357 VHZ524352:VHZ524357 VRV524352:VRV524357 WBR524352:WBR524357 WLN524352:WLN524357 WVJ524352:WVJ524357 B589888:B589893 IX589888:IX589893 ST589888:ST589893 ACP589888:ACP589893 AML589888:AML589893 AWH589888:AWH589893 BGD589888:BGD589893 BPZ589888:BPZ589893 BZV589888:BZV589893 CJR589888:CJR589893 CTN589888:CTN589893 DDJ589888:DDJ589893 DNF589888:DNF589893 DXB589888:DXB589893 EGX589888:EGX589893 EQT589888:EQT589893 FAP589888:FAP589893 FKL589888:FKL589893 FUH589888:FUH589893 GED589888:GED589893 GNZ589888:GNZ589893 GXV589888:GXV589893 HHR589888:HHR589893 HRN589888:HRN589893 IBJ589888:IBJ589893 ILF589888:ILF589893 IVB589888:IVB589893 JEX589888:JEX589893 JOT589888:JOT589893 JYP589888:JYP589893 KIL589888:KIL589893 KSH589888:KSH589893 LCD589888:LCD589893 LLZ589888:LLZ589893 LVV589888:LVV589893 MFR589888:MFR589893 MPN589888:MPN589893 MZJ589888:MZJ589893 NJF589888:NJF589893 NTB589888:NTB589893 OCX589888:OCX589893 OMT589888:OMT589893 OWP589888:OWP589893 PGL589888:PGL589893 PQH589888:PQH589893 QAD589888:QAD589893 QJZ589888:QJZ589893 QTV589888:QTV589893 RDR589888:RDR589893 RNN589888:RNN589893 RXJ589888:RXJ589893 SHF589888:SHF589893 SRB589888:SRB589893 TAX589888:TAX589893 TKT589888:TKT589893 TUP589888:TUP589893 UEL589888:UEL589893 UOH589888:UOH589893 UYD589888:UYD589893 VHZ589888:VHZ589893 VRV589888:VRV589893 WBR589888:WBR589893 WLN589888:WLN589893 WVJ589888:WVJ589893 B655424:B655429 IX655424:IX655429 ST655424:ST655429 ACP655424:ACP655429 AML655424:AML655429 AWH655424:AWH655429 BGD655424:BGD655429 BPZ655424:BPZ655429 BZV655424:BZV655429 CJR655424:CJR655429 CTN655424:CTN655429 DDJ655424:DDJ655429 DNF655424:DNF655429 DXB655424:DXB655429 EGX655424:EGX655429 EQT655424:EQT655429 FAP655424:FAP655429 FKL655424:FKL655429 FUH655424:FUH655429 GED655424:GED655429 GNZ655424:GNZ655429 GXV655424:GXV655429 HHR655424:HHR655429 HRN655424:HRN655429 IBJ655424:IBJ655429 ILF655424:ILF655429 IVB655424:IVB655429 JEX655424:JEX655429 JOT655424:JOT655429 JYP655424:JYP655429 KIL655424:KIL655429 KSH655424:KSH655429 LCD655424:LCD655429 LLZ655424:LLZ655429 LVV655424:LVV655429 MFR655424:MFR655429 MPN655424:MPN655429 MZJ655424:MZJ655429 NJF655424:NJF655429 NTB655424:NTB655429 OCX655424:OCX655429 OMT655424:OMT655429 OWP655424:OWP655429 PGL655424:PGL655429 PQH655424:PQH655429 QAD655424:QAD655429 QJZ655424:QJZ655429 QTV655424:QTV655429 RDR655424:RDR655429 RNN655424:RNN655429 RXJ655424:RXJ655429 SHF655424:SHF655429 SRB655424:SRB655429 TAX655424:TAX655429 TKT655424:TKT655429 TUP655424:TUP655429 UEL655424:UEL655429 UOH655424:UOH655429 UYD655424:UYD655429 VHZ655424:VHZ655429 VRV655424:VRV655429 WBR655424:WBR655429 WLN655424:WLN655429 WVJ655424:WVJ655429 B720960:B720965 IX720960:IX720965 ST720960:ST720965 ACP720960:ACP720965 AML720960:AML720965 AWH720960:AWH720965 BGD720960:BGD720965 BPZ720960:BPZ720965 BZV720960:BZV720965 CJR720960:CJR720965 CTN720960:CTN720965 DDJ720960:DDJ720965 DNF720960:DNF720965 DXB720960:DXB720965 EGX720960:EGX720965 EQT720960:EQT720965 FAP720960:FAP720965 FKL720960:FKL720965 FUH720960:FUH720965 GED720960:GED720965 GNZ720960:GNZ720965 GXV720960:GXV720965 HHR720960:HHR720965 HRN720960:HRN720965 IBJ720960:IBJ720965 ILF720960:ILF720965 IVB720960:IVB720965 JEX720960:JEX720965 JOT720960:JOT720965 JYP720960:JYP720965 KIL720960:KIL720965 KSH720960:KSH720965 LCD720960:LCD720965 LLZ720960:LLZ720965 LVV720960:LVV720965 MFR720960:MFR720965 MPN720960:MPN720965 MZJ720960:MZJ720965 NJF720960:NJF720965 NTB720960:NTB720965 OCX720960:OCX720965 OMT720960:OMT720965 OWP720960:OWP720965 PGL720960:PGL720965 PQH720960:PQH720965 QAD720960:QAD720965 QJZ720960:QJZ720965 QTV720960:QTV720965 RDR720960:RDR720965 RNN720960:RNN720965 RXJ720960:RXJ720965 SHF720960:SHF720965 SRB720960:SRB720965 TAX720960:TAX720965 TKT720960:TKT720965 TUP720960:TUP720965 UEL720960:UEL720965 UOH720960:UOH720965 UYD720960:UYD720965 VHZ720960:VHZ720965 VRV720960:VRV720965 WBR720960:WBR720965 WLN720960:WLN720965 WVJ720960:WVJ720965 B786496:B786501 IX786496:IX786501 ST786496:ST786501 ACP786496:ACP786501 AML786496:AML786501 AWH786496:AWH786501 BGD786496:BGD786501 BPZ786496:BPZ786501 BZV786496:BZV786501 CJR786496:CJR786501 CTN786496:CTN786501 DDJ786496:DDJ786501 DNF786496:DNF786501 DXB786496:DXB786501 EGX786496:EGX786501 EQT786496:EQT786501 FAP786496:FAP786501 FKL786496:FKL786501 FUH786496:FUH786501 GED786496:GED786501 GNZ786496:GNZ786501 GXV786496:GXV786501 HHR786496:HHR786501 HRN786496:HRN786501 IBJ786496:IBJ786501 ILF786496:ILF786501 IVB786496:IVB786501 JEX786496:JEX786501 JOT786496:JOT786501 JYP786496:JYP786501 KIL786496:KIL786501 KSH786496:KSH786501 LCD786496:LCD786501 LLZ786496:LLZ786501 LVV786496:LVV786501 MFR786496:MFR786501 MPN786496:MPN786501 MZJ786496:MZJ786501 NJF786496:NJF786501 NTB786496:NTB786501 OCX786496:OCX786501 OMT786496:OMT786501 OWP786496:OWP786501 PGL786496:PGL786501 PQH786496:PQH786501 QAD786496:QAD786501 QJZ786496:QJZ786501 QTV786496:QTV786501 RDR786496:RDR786501 RNN786496:RNN786501 RXJ786496:RXJ786501 SHF786496:SHF786501 SRB786496:SRB786501 TAX786496:TAX786501 TKT786496:TKT786501 TUP786496:TUP786501 UEL786496:UEL786501 UOH786496:UOH786501 UYD786496:UYD786501 VHZ786496:VHZ786501 VRV786496:VRV786501 WBR786496:WBR786501 WLN786496:WLN786501 WVJ786496:WVJ786501 B852032:B852037 IX852032:IX852037 ST852032:ST852037 ACP852032:ACP852037 AML852032:AML852037 AWH852032:AWH852037 BGD852032:BGD852037 BPZ852032:BPZ852037 BZV852032:BZV852037 CJR852032:CJR852037 CTN852032:CTN852037 DDJ852032:DDJ852037 DNF852032:DNF852037 DXB852032:DXB852037 EGX852032:EGX852037 EQT852032:EQT852037 FAP852032:FAP852037 FKL852032:FKL852037 FUH852032:FUH852037 GED852032:GED852037 GNZ852032:GNZ852037 GXV852032:GXV852037 HHR852032:HHR852037 HRN852032:HRN852037 IBJ852032:IBJ852037 ILF852032:ILF852037 IVB852032:IVB852037 JEX852032:JEX852037 JOT852032:JOT852037 JYP852032:JYP852037 KIL852032:KIL852037 KSH852032:KSH852037 LCD852032:LCD852037 LLZ852032:LLZ852037 LVV852032:LVV852037 MFR852032:MFR852037 MPN852032:MPN852037 MZJ852032:MZJ852037 NJF852032:NJF852037 NTB852032:NTB852037 OCX852032:OCX852037 OMT852032:OMT852037 OWP852032:OWP852037 PGL852032:PGL852037 PQH852032:PQH852037 QAD852032:QAD852037 QJZ852032:QJZ852037 QTV852032:QTV852037 RDR852032:RDR852037 RNN852032:RNN852037 RXJ852032:RXJ852037 SHF852032:SHF852037 SRB852032:SRB852037 TAX852032:TAX852037 TKT852032:TKT852037 TUP852032:TUP852037 UEL852032:UEL852037 UOH852032:UOH852037 UYD852032:UYD852037 VHZ852032:VHZ852037 VRV852032:VRV852037 WBR852032:WBR852037 WLN852032:WLN852037 WVJ852032:WVJ852037 B917568:B917573 IX917568:IX917573 ST917568:ST917573 ACP917568:ACP917573 AML917568:AML917573 AWH917568:AWH917573 BGD917568:BGD917573 BPZ917568:BPZ917573 BZV917568:BZV917573 CJR917568:CJR917573 CTN917568:CTN917573 DDJ917568:DDJ917573 DNF917568:DNF917573 DXB917568:DXB917573 EGX917568:EGX917573 EQT917568:EQT917573 FAP917568:FAP917573 FKL917568:FKL917573 FUH917568:FUH917573 GED917568:GED917573 GNZ917568:GNZ917573 GXV917568:GXV917573 HHR917568:HHR917573 HRN917568:HRN917573 IBJ917568:IBJ917573 ILF917568:ILF917573 IVB917568:IVB917573 JEX917568:JEX917573 JOT917568:JOT917573 JYP917568:JYP917573 KIL917568:KIL917573 KSH917568:KSH917573 LCD917568:LCD917573 LLZ917568:LLZ917573 LVV917568:LVV917573 MFR917568:MFR917573 MPN917568:MPN917573 MZJ917568:MZJ917573 NJF917568:NJF917573 NTB917568:NTB917573 OCX917568:OCX917573 OMT917568:OMT917573 OWP917568:OWP917573 PGL917568:PGL917573 PQH917568:PQH917573 QAD917568:QAD917573 QJZ917568:QJZ917573 QTV917568:QTV917573 RDR917568:RDR917573 RNN917568:RNN917573 RXJ917568:RXJ917573 SHF917568:SHF917573 SRB917568:SRB917573 TAX917568:TAX917573 TKT917568:TKT917573 TUP917568:TUP917573 UEL917568:UEL917573 UOH917568:UOH917573 UYD917568:UYD917573 VHZ917568:VHZ917573 VRV917568:VRV917573 WBR917568:WBR917573 WLN917568:WLN917573 WVJ917568:WVJ917573 B983104:B983109 IX983104:IX983109 ST983104:ST983109 ACP983104:ACP983109 AML983104:AML983109 AWH983104:AWH983109 BGD983104:BGD983109 BPZ983104:BPZ983109 BZV983104:BZV983109 CJR983104:CJR983109 CTN983104:CTN983109 DDJ983104:DDJ983109 DNF983104:DNF983109 DXB983104:DXB983109 EGX983104:EGX983109 EQT983104:EQT983109 FAP983104:FAP983109 FKL983104:FKL983109 FUH983104:FUH983109 GED983104:GED983109 GNZ983104:GNZ983109 GXV983104:GXV983109 HHR983104:HHR983109 HRN983104:HRN983109 IBJ983104:IBJ983109 ILF983104:ILF983109 IVB983104:IVB983109 JEX983104:JEX983109 JOT983104:JOT983109 JYP983104:JYP983109 KIL983104:KIL983109 KSH983104:KSH983109 LCD983104:LCD983109 LLZ983104:LLZ983109 LVV983104:LVV983109 MFR983104:MFR983109 MPN983104:MPN983109 MZJ983104:MZJ983109 NJF983104:NJF983109 NTB983104:NTB983109 OCX983104:OCX983109 OMT983104:OMT983109 OWP983104:OWP983109 PGL983104:PGL983109 PQH983104:PQH983109 QAD983104:QAD983109 QJZ983104:QJZ983109 QTV983104:QTV983109 RDR983104:RDR983109 RNN983104:RNN983109 RXJ983104:RXJ983109 SHF983104:SHF983109 SRB983104:SRB983109 TAX983104:TAX983109 TKT983104:TKT983109 TUP983104:TUP983109 UEL983104:UEL983109 UOH983104:UOH983109 UYD983104:UYD983109 VHZ983104:VHZ983109 VRV983104:VRV983109 WBR983104:WBR983109 WLN983104:WLN983109 WVJ983104:WVJ983109" xr:uid="{00000000-0002-0000-0000-000007000000}">
      <formula1>$I$1:$I$2</formula1>
    </dataValidation>
    <dataValidation type="list" allowBlank="1" showInputMessage="1" showErrorMessage="1" sqref="B38 IX38 ST38 ACP38 AML38 AWH38 BGD38 BPZ38 BZV38 CJR38 CTN38 DDJ38 DNF38 DXB38 EGX38 EQT38 FAP38 FKL38 FUH38 GED38 GNZ38 GXV38 HHR38 HRN38 IBJ38 ILF38 IVB38 JEX38 JOT38 JYP38 KIL38 KSH38 LCD38 LLZ38 LVV38 MFR38 MPN38 MZJ38 NJF38 NTB38 OCX38 OMT38 OWP38 PGL38 PQH38 QAD38 QJZ38 QTV38 RDR38 RNN38 RXJ38 SHF38 SRB38 TAX38 TKT38 TUP38 UEL38 UOH38 UYD38 VHZ38 VRV38 WBR38 WLN38 WVJ38 B65571 IX65571 ST65571 ACP65571 AML65571 AWH65571 BGD65571 BPZ65571 BZV65571 CJR65571 CTN65571 DDJ65571 DNF65571 DXB65571 EGX65571 EQT65571 FAP65571 FKL65571 FUH65571 GED65571 GNZ65571 GXV65571 HHR65571 HRN65571 IBJ65571 ILF65571 IVB65571 JEX65571 JOT65571 JYP65571 KIL65571 KSH65571 LCD65571 LLZ65571 LVV65571 MFR65571 MPN65571 MZJ65571 NJF65571 NTB65571 OCX65571 OMT65571 OWP65571 PGL65571 PQH65571 QAD65571 QJZ65571 QTV65571 RDR65571 RNN65571 RXJ65571 SHF65571 SRB65571 TAX65571 TKT65571 TUP65571 UEL65571 UOH65571 UYD65571 VHZ65571 VRV65571 WBR65571 WLN65571 WVJ65571 B131107 IX131107 ST131107 ACP131107 AML131107 AWH131107 BGD131107 BPZ131107 BZV131107 CJR131107 CTN131107 DDJ131107 DNF131107 DXB131107 EGX131107 EQT131107 FAP131107 FKL131107 FUH131107 GED131107 GNZ131107 GXV131107 HHR131107 HRN131107 IBJ131107 ILF131107 IVB131107 JEX131107 JOT131107 JYP131107 KIL131107 KSH131107 LCD131107 LLZ131107 LVV131107 MFR131107 MPN131107 MZJ131107 NJF131107 NTB131107 OCX131107 OMT131107 OWP131107 PGL131107 PQH131107 QAD131107 QJZ131107 QTV131107 RDR131107 RNN131107 RXJ131107 SHF131107 SRB131107 TAX131107 TKT131107 TUP131107 UEL131107 UOH131107 UYD131107 VHZ131107 VRV131107 WBR131107 WLN131107 WVJ131107 B196643 IX196643 ST196643 ACP196643 AML196643 AWH196643 BGD196643 BPZ196643 BZV196643 CJR196643 CTN196643 DDJ196643 DNF196643 DXB196643 EGX196643 EQT196643 FAP196643 FKL196643 FUH196643 GED196643 GNZ196643 GXV196643 HHR196643 HRN196643 IBJ196643 ILF196643 IVB196643 JEX196643 JOT196643 JYP196643 KIL196643 KSH196643 LCD196643 LLZ196643 LVV196643 MFR196643 MPN196643 MZJ196643 NJF196643 NTB196643 OCX196643 OMT196643 OWP196643 PGL196643 PQH196643 QAD196643 QJZ196643 QTV196643 RDR196643 RNN196643 RXJ196643 SHF196643 SRB196643 TAX196643 TKT196643 TUP196643 UEL196643 UOH196643 UYD196643 VHZ196643 VRV196643 WBR196643 WLN196643 WVJ196643 B262179 IX262179 ST262179 ACP262179 AML262179 AWH262179 BGD262179 BPZ262179 BZV262179 CJR262179 CTN262179 DDJ262179 DNF262179 DXB262179 EGX262179 EQT262179 FAP262179 FKL262179 FUH262179 GED262179 GNZ262179 GXV262179 HHR262179 HRN262179 IBJ262179 ILF262179 IVB262179 JEX262179 JOT262179 JYP262179 KIL262179 KSH262179 LCD262179 LLZ262179 LVV262179 MFR262179 MPN262179 MZJ262179 NJF262179 NTB262179 OCX262179 OMT262179 OWP262179 PGL262179 PQH262179 QAD262179 QJZ262179 QTV262179 RDR262179 RNN262179 RXJ262179 SHF262179 SRB262179 TAX262179 TKT262179 TUP262179 UEL262179 UOH262179 UYD262179 VHZ262179 VRV262179 WBR262179 WLN262179 WVJ262179 B327715 IX327715 ST327715 ACP327715 AML327715 AWH327715 BGD327715 BPZ327715 BZV327715 CJR327715 CTN327715 DDJ327715 DNF327715 DXB327715 EGX327715 EQT327715 FAP327715 FKL327715 FUH327715 GED327715 GNZ327715 GXV327715 HHR327715 HRN327715 IBJ327715 ILF327715 IVB327715 JEX327715 JOT327715 JYP327715 KIL327715 KSH327715 LCD327715 LLZ327715 LVV327715 MFR327715 MPN327715 MZJ327715 NJF327715 NTB327715 OCX327715 OMT327715 OWP327715 PGL327715 PQH327715 QAD327715 QJZ327715 QTV327715 RDR327715 RNN327715 RXJ327715 SHF327715 SRB327715 TAX327715 TKT327715 TUP327715 UEL327715 UOH327715 UYD327715 VHZ327715 VRV327715 WBR327715 WLN327715 WVJ327715 B393251 IX393251 ST393251 ACP393251 AML393251 AWH393251 BGD393251 BPZ393251 BZV393251 CJR393251 CTN393251 DDJ393251 DNF393251 DXB393251 EGX393251 EQT393251 FAP393251 FKL393251 FUH393251 GED393251 GNZ393251 GXV393251 HHR393251 HRN393251 IBJ393251 ILF393251 IVB393251 JEX393251 JOT393251 JYP393251 KIL393251 KSH393251 LCD393251 LLZ393251 LVV393251 MFR393251 MPN393251 MZJ393251 NJF393251 NTB393251 OCX393251 OMT393251 OWP393251 PGL393251 PQH393251 QAD393251 QJZ393251 QTV393251 RDR393251 RNN393251 RXJ393251 SHF393251 SRB393251 TAX393251 TKT393251 TUP393251 UEL393251 UOH393251 UYD393251 VHZ393251 VRV393251 WBR393251 WLN393251 WVJ393251 B458787 IX458787 ST458787 ACP458787 AML458787 AWH458787 BGD458787 BPZ458787 BZV458787 CJR458787 CTN458787 DDJ458787 DNF458787 DXB458787 EGX458787 EQT458787 FAP458787 FKL458787 FUH458787 GED458787 GNZ458787 GXV458787 HHR458787 HRN458787 IBJ458787 ILF458787 IVB458787 JEX458787 JOT458787 JYP458787 KIL458787 KSH458787 LCD458787 LLZ458787 LVV458787 MFR458787 MPN458787 MZJ458787 NJF458787 NTB458787 OCX458787 OMT458787 OWP458787 PGL458787 PQH458787 QAD458787 QJZ458787 QTV458787 RDR458787 RNN458787 RXJ458787 SHF458787 SRB458787 TAX458787 TKT458787 TUP458787 UEL458787 UOH458787 UYD458787 VHZ458787 VRV458787 WBR458787 WLN458787 WVJ458787 B524323 IX524323 ST524323 ACP524323 AML524323 AWH524323 BGD524323 BPZ524323 BZV524323 CJR524323 CTN524323 DDJ524323 DNF524323 DXB524323 EGX524323 EQT524323 FAP524323 FKL524323 FUH524323 GED524323 GNZ524323 GXV524323 HHR524323 HRN524323 IBJ524323 ILF524323 IVB524323 JEX524323 JOT524323 JYP524323 KIL524323 KSH524323 LCD524323 LLZ524323 LVV524323 MFR524323 MPN524323 MZJ524323 NJF524323 NTB524323 OCX524323 OMT524323 OWP524323 PGL524323 PQH524323 QAD524323 QJZ524323 QTV524323 RDR524323 RNN524323 RXJ524323 SHF524323 SRB524323 TAX524323 TKT524323 TUP524323 UEL524323 UOH524323 UYD524323 VHZ524323 VRV524323 WBR524323 WLN524323 WVJ524323 B589859 IX589859 ST589859 ACP589859 AML589859 AWH589859 BGD589859 BPZ589859 BZV589859 CJR589859 CTN589859 DDJ589859 DNF589859 DXB589859 EGX589859 EQT589859 FAP589859 FKL589859 FUH589859 GED589859 GNZ589859 GXV589859 HHR589859 HRN589859 IBJ589859 ILF589859 IVB589859 JEX589859 JOT589859 JYP589859 KIL589859 KSH589859 LCD589859 LLZ589859 LVV589859 MFR589859 MPN589859 MZJ589859 NJF589859 NTB589859 OCX589859 OMT589859 OWP589859 PGL589859 PQH589859 QAD589859 QJZ589859 QTV589859 RDR589859 RNN589859 RXJ589859 SHF589859 SRB589859 TAX589859 TKT589859 TUP589859 UEL589859 UOH589859 UYD589859 VHZ589859 VRV589859 WBR589859 WLN589859 WVJ589859 B655395 IX655395 ST655395 ACP655395 AML655395 AWH655395 BGD655395 BPZ655395 BZV655395 CJR655395 CTN655395 DDJ655395 DNF655395 DXB655395 EGX655395 EQT655395 FAP655395 FKL655395 FUH655395 GED655395 GNZ655395 GXV655395 HHR655395 HRN655395 IBJ655395 ILF655395 IVB655395 JEX655395 JOT655395 JYP655395 KIL655395 KSH655395 LCD655395 LLZ655395 LVV655395 MFR655395 MPN655395 MZJ655395 NJF655395 NTB655395 OCX655395 OMT655395 OWP655395 PGL655395 PQH655395 QAD655395 QJZ655395 QTV655395 RDR655395 RNN655395 RXJ655395 SHF655395 SRB655395 TAX655395 TKT655395 TUP655395 UEL655395 UOH655395 UYD655395 VHZ655395 VRV655395 WBR655395 WLN655395 WVJ655395 B720931 IX720931 ST720931 ACP720931 AML720931 AWH720931 BGD720931 BPZ720931 BZV720931 CJR720931 CTN720931 DDJ720931 DNF720931 DXB720931 EGX720931 EQT720931 FAP720931 FKL720931 FUH720931 GED720931 GNZ720931 GXV720931 HHR720931 HRN720931 IBJ720931 ILF720931 IVB720931 JEX720931 JOT720931 JYP720931 KIL720931 KSH720931 LCD720931 LLZ720931 LVV720931 MFR720931 MPN720931 MZJ720931 NJF720931 NTB720931 OCX720931 OMT720931 OWP720931 PGL720931 PQH720931 QAD720931 QJZ720931 QTV720931 RDR720931 RNN720931 RXJ720931 SHF720931 SRB720931 TAX720931 TKT720931 TUP720931 UEL720931 UOH720931 UYD720931 VHZ720931 VRV720931 WBR720931 WLN720931 WVJ720931 B786467 IX786467 ST786467 ACP786467 AML786467 AWH786467 BGD786467 BPZ786467 BZV786467 CJR786467 CTN786467 DDJ786467 DNF786467 DXB786467 EGX786467 EQT786467 FAP786467 FKL786467 FUH786467 GED786467 GNZ786467 GXV786467 HHR786467 HRN786467 IBJ786467 ILF786467 IVB786467 JEX786467 JOT786467 JYP786467 KIL786467 KSH786467 LCD786467 LLZ786467 LVV786467 MFR786467 MPN786467 MZJ786467 NJF786467 NTB786467 OCX786467 OMT786467 OWP786467 PGL786467 PQH786467 QAD786467 QJZ786467 QTV786467 RDR786467 RNN786467 RXJ786467 SHF786467 SRB786467 TAX786467 TKT786467 TUP786467 UEL786467 UOH786467 UYD786467 VHZ786467 VRV786467 WBR786467 WLN786467 WVJ786467 B852003 IX852003 ST852003 ACP852003 AML852003 AWH852003 BGD852003 BPZ852003 BZV852003 CJR852003 CTN852003 DDJ852003 DNF852003 DXB852003 EGX852003 EQT852003 FAP852003 FKL852003 FUH852003 GED852003 GNZ852003 GXV852003 HHR852003 HRN852003 IBJ852003 ILF852003 IVB852003 JEX852003 JOT852003 JYP852003 KIL852003 KSH852003 LCD852003 LLZ852003 LVV852003 MFR852003 MPN852003 MZJ852003 NJF852003 NTB852003 OCX852003 OMT852003 OWP852003 PGL852003 PQH852003 QAD852003 QJZ852003 QTV852003 RDR852003 RNN852003 RXJ852003 SHF852003 SRB852003 TAX852003 TKT852003 TUP852003 UEL852003 UOH852003 UYD852003 VHZ852003 VRV852003 WBR852003 WLN852003 WVJ852003 B917539 IX917539 ST917539 ACP917539 AML917539 AWH917539 BGD917539 BPZ917539 BZV917539 CJR917539 CTN917539 DDJ917539 DNF917539 DXB917539 EGX917539 EQT917539 FAP917539 FKL917539 FUH917539 GED917539 GNZ917539 GXV917539 HHR917539 HRN917539 IBJ917539 ILF917539 IVB917539 JEX917539 JOT917539 JYP917539 KIL917539 KSH917539 LCD917539 LLZ917539 LVV917539 MFR917539 MPN917539 MZJ917539 NJF917539 NTB917539 OCX917539 OMT917539 OWP917539 PGL917539 PQH917539 QAD917539 QJZ917539 QTV917539 RDR917539 RNN917539 RXJ917539 SHF917539 SRB917539 TAX917539 TKT917539 TUP917539 UEL917539 UOH917539 UYD917539 VHZ917539 VRV917539 WBR917539 WLN917539 WVJ917539 B983075 IX983075 ST983075 ACP983075 AML983075 AWH983075 BGD983075 BPZ983075 BZV983075 CJR983075 CTN983075 DDJ983075 DNF983075 DXB983075 EGX983075 EQT983075 FAP983075 FKL983075 FUH983075 GED983075 GNZ983075 GXV983075 HHR983075 HRN983075 IBJ983075 ILF983075 IVB983075 JEX983075 JOT983075 JYP983075 KIL983075 KSH983075 LCD983075 LLZ983075 LVV983075 MFR983075 MPN983075 MZJ983075 NJF983075 NTB983075 OCX983075 OMT983075 OWP983075 PGL983075 PQH983075 QAD983075 QJZ983075 QTV983075 RDR983075 RNN983075 RXJ983075 SHF983075 SRB983075 TAX983075 TKT983075 TUP983075 UEL983075 UOH983075 UYD983075 VHZ983075 VRV983075 WBR983075 WLN983075 WVJ983075" xr:uid="{00000000-0002-0000-0000-000008000000}">
      <formula1>$J$1:$J$7</formula1>
    </dataValidation>
    <dataValidation type="list" allowBlank="1" showInputMessage="1" showErrorMessage="1" sqref="C24 WVK983063 WLO983063 WBS983063 VRW983063 VIA983063 UYE983063 UOI983063 UEM983063 TUQ983063 TKU983063 TAY983063 SRC983063 SHG983063 RXK983063 RNO983063 RDS983063 QTW983063 QKA983063 QAE983063 PQI983063 PGM983063 OWQ983063 OMU983063 OCY983063 NTC983063 NJG983063 MZK983063 MPO983063 MFS983063 LVW983063 LMA983063 LCE983063 KSI983063 KIM983063 JYQ983063 JOU983063 JEY983063 IVC983063 ILG983063 IBK983063 HRO983063 HHS983063 GXW983063 GOA983063 GEE983063 FUI983063 FKM983063 FAQ983063 EQU983063 EGY983063 DXC983063 DNG983063 DDK983063 CTO983063 CJS983063 BZW983063 BQA983063 BGE983063 AWI983063 AMM983063 ACQ983063 SU983063 IY983063 C983063 WVK917527 WLO917527 WBS917527 VRW917527 VIA917527 UYE917527 UOI917527 UEM917527 TUQ917527 TKU917527 TAY917527 SRC917527 SHG917527 RXK917527 RNO917527 RDS917527 QTW917527 QKA917527 QAE917527 PQI917527 PGM917527 OWQ917527 OMU917527 OCY917527 NTC917527 NJG917527 MZK917527 MPO917527 MFS917527 LVW917527 LMA917527 LCE917527 KSI917527 KIM917527 JYQ917527 JOU917527 JEY917527 IVC917527 ILG917527 IBK917527 HRO917527 HHS917527 GXW917527 GOA917527 GEE917527 FUI917527 FKM917527 FAQ917527 EQU917527 EGY917527 DXC917527 DNG917527 DDK917527 CTO917527 CJS917527 BZW917527 BQA917527 BGE917527 AWI917527 AMM917527 ACQ917527 SU917527 IY917527 C917527 WVK851991 WLO851991 WBS851991 VRW851991 VIA851991 UYE851991 UOI851991 UEM851991 TUQ851991 TKU851991 TAY851991 SRC851991 SHG851991 RXK851991 RNO851991 RDS851991 QTW851991 QKA851991 QAE851991 PQI851991 PGM851991 OWQ851991 OMU851991 OCY851991 NTC851991 NJG851991 MZK851991 MPO851991 MFS851991 LVW851991 LMA851991 LCE851991 KSI851991 KIM851991 JYQ851991 JOU851991 JEY851991 IVC851991 ILG851991 IBK851991 HRO851991 HHS851991 GXW851991 GOA851991 GEE851991 FUI851991 FKM851991 FAQ851991 EQU851991 EGY851991 DXC851991 DNG851991 DDK851991 CTO851991 CJS851991 BZW851991 BQA851991 BGE851991 AWI851991 AMM851991 ACQ851991 SU851991 IY851991 C851991 WVK786455 WLO786455 WBS786455 VRW786455 VIA786455 UYE786455 UOI786455 UEM786455 TUQ786455 TKU786455 TAY786455 SRC786455 SHG786455 RXK786455 RNO786455 RDS786455 QTW786455 QKA786455 QAE786455 PQI786455 PGM786455 OWQ786455 OMU786455 OCY786455 NTC786455 NJG786455 MZK786455 MPO786455 MFS786455 LVW786455 LMA786455 LCE786455 KSI786455 KIM786455 JYQ786455 JOU786455 JEY786455 IVC786455 ILG786455 IBK786455 HRO786455 HHS786455 GXW786455 GOA786455 GEE786455 FUI786455 FKM786455 FAQ786455 EQU786455 EGY786455 DXC786455 DNG786455 DDK786455 CTO786455 CJS786455 BZW786455 BQA786455 BGE786455 AWI786455 AMM786455 ACQ786455 SU786455 IY786455 C786455 WVK720919 WLO720919 WBS720919 VRW720919 VIA720919 UYE720919 UOI720919 UEM720919 TUQ720919 TKU720919 TAY720919 SRC720919 SHG720919 RXK720919 RNO720919 RDS720919 QTW720919 QKA720919 QAE720919 PQI720919 PGM720919 OWQ720919 OMU720919 OCY720919 NTC720919 NJG720919 MZK720919 MPO720919 MFS720919 LVW720919 LMA720919 LCE720919 KSI720919 KIM720919 JYQ720919 JOU720919 JEY720919 IVC720919 ILG720919 IBK720919 HRO720919 HHS720919 GXW720919 GOA720919 GEE720919 FUI720919 FKM720919 FAQ720919 EQU720919 EGY720919 DXC720919 DNG720919 DDK720919 CTO720919 CJS720919 BZW720919 BQA720919 BGE720919 AWI720919 AMM720919 ACQ720919 SU720919 IY720919 C720919 WVK655383 WLO655383 WBS655383 VRW655383 VIA655383 UYE655383 UOI655383 UEM655383 TUQ655383 TKU655383 TAY655383 SRC655383 SHG655383 RXK655383 RNO655383 RDS655383 QTW655383 QKA655383 QAE655383 PQI655383 PGM655383 OWQ655383 OMU655383 OCY655383 NTC655383 NJG655383 MZK655383 MPO655383 MFS655383 LVW655383 LMA655383 LCE655383 KSI655383 KIM655383 JYQ655383 JOU655383 JEY655383 IVC655383 ILG655383 IBK655383 HRO655383 HHS655383 GXW655383 GOA655383 GEE655383 FUI655383 FKM655383 FAQ655383 EQU655383 EGY655383 DXC655383 DNG655383 DDK655383 CTO655383 CJS655383 BZW655383 BQA655383 BGE655383 AWI655383 AMM655383 ACQ655383 SU655383 IY655383 C655383 WVK589847 WLO589847 WBS589847 VRW589847 VIA589847 UYE589847 UOI589847 UEM589847 TUQ589847 TKU589847 TAY589847 SRC589847 SHG589847 RXK589847 RNO589847 RDS589847 QTW589847 QKA589847 QAE589847 PQI589847 PGM589847 OWQ589847 OMU589847 OCY589847 NTC589847 NJG589847 MZK589847 MPO589847 MFS589847 LVW589847 LMA589847 LCE589847 KSI589847 KIM589847 JYQ589847 JOU589847 JEY589847 IVC589847 ILG589847 IBK589847 HRO589847 HHS589847 GXW589847 GOA589847 GEE589847 FUI589847 FKM589847 FAQ589847 EQU589847 EGY589847 DXC589847 DNG589847 DDK589847 CTO589847 CJS589847 BZW589847 BQA589847 BGE589847 AWI589847 AMM589847 ACQ589847 SU589847 IY589847 C589847 WVK524311 WLO524311 WBS524311 VRW524311 VIA524311 UYE524311 UOI524311 UEM524311 TUQ524311 TKU524311 TAY524311 SRC524311 SHG524311 RXK524311 RNO524311 RDS524311 QTW524311 QKA524311 QAE524311 PQI524311 PGM524311 OWQ524311 OMU524311 OCY524311 NTC524311 NJG524311 MZK524311 MPO524311 MFS524311 LVW524311 LMA524311 LCE524311 KSI524311 KIM524311 JYQ524311 JOU524311 JEY524311 IVC524311 ILG524311 IBK524311 HRO524311 HHS524311 GXW524311 GOA524311 GEE524311 FUI524311 FKM524311 FAQ524311 EQU524311 EGY524311 DXC524311 DNG524311 DDK524311 CTO524311 CJS524311 BZW524311 BQA524311 BGE524311 AWI524311 AMM524311 ACQ524311 SU524311 IY524311 C524311 WVK458775 WLO458775 WBS458775 VRW458775 VIA458775 UYE458775 UOI458775 UEM458775 TUQ458775 TKU458775 TAY458775 SRC458775 SHG458775 RXK458775 RNO458775 RDS458775 QTW458775 QKA458775 QAE458775 PQI458775 PGM458775 OWQ458775 OMU458775 OCY458775 NTC458775 NJG458775 MZK458775 MPO458775 MFS458775 LVW458775 LMA458775 LCE458775 KSI458775 KIM458775 JYQ458775 JOU458775 JEY458775 IVC458775 ILG458775 IBK458775 HRO458775 HHS458775 GXW458775 GOA458775 GEE458775 FUI458775 FKM458775 FAQ458775 EQU458775 EGY458775 DXC458775 DNG458775 DDK458775 CTO458775 CJS458775 BZW458775 BQA458775 BGE458775 AWI458775 AMM458775 ACQ458775 SU458775 IY458775 C458775 WVK393239 WLO393239 WBS393239 VRW393239 VIA393239 UYE393239 UOI393239 UEM393239 TUQ393239 TKU393239 TAY393239 SRC393239 SHG393239 RXK393239 RNO393239 RDS393239 QTW393239 QKA393239 QAE393239 PQI393239 PGM393239 OWQ393239 OMU393239 OCY393239 NTC393239 NJG393239 MZK393239 MPO393239 MFS393239 LVW393239 LMA393239 LCE393239 KSI393239 KIM393239 JYQ393239 JOU393239 JEY393239 IVC393239 ILG393239 IBK393239 HRO393239 HHS393239 GXW393239 GOA393239 GEE393239 FUI393239 FKM393239 FAQ393239 EQU393239 EGY393239 DXC393239 DNG393239 DDK393239 CTO393239 CJS393239 BZW393239 BQA393239 BGE393239 AWI393239 AMM393239 ACQ393239 SU393239 IY393239 C393239 WVK327703 WLO327703 WBS327703 VRW327703 VIA327703 UYE327703 UOI327703 UEM327703 TUQ327703 TKU327703 TAY327703 SRC327703 SHG327703 RXK327703 RNO327703 RDS327703 QTW327703 QKA327703 QAE327703 PQI327703 PGM327703 OWQ327703 OMU327703 OCY327703 NTC327703 NJG327703 MZK327703 MPO327703 MFS327703 LVW327703 LMA327703 LCE327703 KSI327703 KIM327703 JYQ327703 JOU327703 JEY327703 IVC327703 ILG327703 IBK327703 HRO327703 HHS327703 GXW327703 GOA327703 GEE327703 FUI327703 FKM327703 FAQ327703 EQU327703 EGY327703 DXC327703 DNG327703 DDK327703 CTO327703 CJS327703 BZW327703 BQA327703 BGE327703 AWI327703 AMM327703 ACQ327703 SU327703 IY327703 C327703 WVK262167 WLO262167 WBS262167 VRW262167 VIA262167 UYE262167 UOI262167 UEM262167 TUQ262167 TKU262167 TAY262167 SRC262167 SHG262167 RXK262167 RNO262167 RDS262167 QTW262167 QKA262167 QAE262167 PQI262167 PGM262167 OWQ262167 OMU262167 OCY262167 NTC262167 NJG262167 MZK262167 MPO262167 MFS262167 LVW262167 LMA262167 LCE262167 KSI262167 KIM262167 JYQ262167 JOU262167 JEY262167 IVC262167 ILG262167 IBK262167 HRO262167 HHS262167 GXW262167 GOA262167 GEE262167 FUI262167 FKM262167 FAQ262167 EQU262167 EGY262167 DXC262167 DNG262167 DDK262167 CTO262167 CJS262167 BZW262167 BQA262167 BGE262167 AWI262167 AMM262167 ACQ262167 SU262167 IY262167 C262167 WVK196631 WLO196631 WBS196631 VRW196631 VIA196631 UYE196631 UOI196631 UEM196631 TUQ196631 TKU196631 TAY196631 SRC196631 SHG196631 RXK196631 RNO196631 RDS196631 QTW196631 QKA196631 QAE196631 PQI196631 PGM196631 OWQ196631 OMU196631 OCY196631 NTC196631 NJG196631 MZK196631 MPO196631 MFS196631 LVW196631 LMA196631 LCE196631 KSI196631 KIM196631 JYQ196631 JOU196631 JEY196631 IVC196631 ILG196631 IBK196631 HRO196631 HHS196631 GXW196631 GOA196631 GEE196631 FUI196631 FKM196631 FAQ196631 EQU196631 EGY196631 DXC196631 DNG196631 DDK196631 CTO196631 CJS196631 BZW196631 BQA196631 BGE196631 AWI196631 AMM196631 ACQ196631 SU196631 IY196631 C196631 WVK131095 WLO131095 WBS131095 VRW131095 VIA131095 UYE131095 UOI131095 UEM131095 TUQ131095 TKU131095 TAY131095 SRC131095 SHG131095 RXK131095 RNO131095 RDS131095 QTW131095 QKA131095 QAE131095 PQI131095 PGM131095 OWQ131095 OMU131095 OCY131095 NTC131095 NJG131095 MZK131095 MPO131095 MFS131095 LVW131095 LMA131095 LCE131095 KSI131095 KIM131095 JYQ131095 JOU131095 JEY131095 IVC131095 ILG131095 IBK131095 HRO131095 HHS131095 GXW131095 GOA131095 GEE131095 FUI131095 FKM131095 FAQ131095 EQU131095 EGY131095 DXC131095 DNG131095 DDK131095 CTO131095 CJS131095 BZW131095 BQA131095 BGE131095 AWI131095 AMM131095 ACQ131095 SU131095 IY131095 C131095 WVK65559 WLO65559 WBS65559 VRW65559 VIA65559 UYE65559 UOI65559 UEM65559 TUQ65559 TKU65559 TAY65559 SRC65559 SHG65559 RXK65559 RNO65559 RDS65559 QTW65559 QKA65559 QAE65559 PQI65559 PGM65559 OWQ65559 OMU65559 OCY65559 NTC65559 NJG65559 MZK65559 MPO65559 MFS65559 LVW65559 LMA65559 LCE65559 KSI65559 KIM65559 JYQ65559 JOU65559 JEY65559 IVC65559 ILG65559 IBK65559 HRO65559 HHS65559 GXW65559 GOA65559 GEE65559 FUI65559 FKM65559 FAQ65559 EQU65559 EGY65559 DXC65559 DNG65559 DDK65559 CTO65559 CJS65559 BZW65559 BQA65559 BGE65559 AWI65559 AMM65559 ACQ65559 SU65559 IY65559 C65559 WVK24 WLO24 WBS24 VRW24 VIA24 UYE24 UOI24 UEM24 TUQ24 TKU24 TAY24 SRC24 SHG24 RXK24 RNO24 RDS24 QTW24 QKA24 QAE24 PQI24 PGM24 OWQ24 OMU24 OCY24 NTC24 NJG24 MZK24 MPO24 MFS24 LVW24 LMA24 LCE24 KSI24 KIM24 JYQ24 JOU24 JEY24 IVC24 ILG24 IBK24 HRO24 HHS24 GXW24 GOA24 GEE24 FUI24 FKM24 FAQ24 EQU24 EGY24 DXC24 DNG24 DDK24 CTO24 CJS24 BZW24 BQA24 BGE24 AWI24 AMM24 ACQ24 SU24 IY24" xr:uid="{00000000-0002-0000-0000-000009000000}">
      <formula1>$I$1:$I$75</formula1>
    </dataValidation>
    <dataValidation type="list" allowBlank="1" showInputMessage="1" showErrorMessage="1" sqref="D91 IZ91 SV91 ACR91 AMN91 AWJ91 BGF91 BQB91 BZX91 CJT91 CTP91 DDL91 DNH91 DXD91 EGZ91 EQV91 FAR91 FKN91 FUJ91 GEF91 GOB91 GXX91 HHT91 HRP91 IBL91 ILH91 IVD91 JEZ91 JOV91 JYR91 KIN91 KSJ91 LCF91 LMB91 LVX91 MFT91 MPP91 MZL91 NJH91 NTD91 OCZ91 OMV91 OWR91 PGN91 PQJ91 QAF91 QKB91 QTX91 RDT91 RNP91 RXL91 SHH91 SRD91 TAZ91 TKV91 TUR91 UEN91 UOJ91 UYF91 VIB91 VRX91 WBT91 WLP91 WVL91 D65627 IZ65627 SV65627 ACR65627 AMN65627 AWJ65627 BGF65627 BQB65627 BZX65627 CJT65627 CTP65627 DDL65627 DNH65627 DXD65627 EGZ65627 EQV65627 FAR65627 FKN65627 FUJ65627 GEF65627 GOB65627 GXX65627 HHT65627 HRP65627 IBL65627 ILH65627 IVD65627 JEZ65627 JOV65627 JYR65627 KIN65627 KSJ65627 LCF65627 LMB65627 LVX65627 MFT65627 MPP65627 MZL65627 NJH65627 NTD65627 OCZ65627 OMV65627 OWR65627 PGN65627 PQJ65627 QAF65627 QKB65627 QTX65627 RDT65627 RNP65627 RXL65627 SHH65627 SRD65627 TAZ65627 TKV65627 TUR65627 UEN65627 UOJ65627 UYF65627 VIB65627 VRX65627 WBT65627 WLP65627 WVL65627 D131163 IZ131163 SV131163 ACR131163 AMN131163 AWJ131163 BGF131163 BQB131163 BZX131163 CJT131163 CTP131163 DDL131163 DNH131163 DXD131163 EGZ131163 EQV131163 FAR131163 FKN131163 FUJ131163 GEF131163 GOB131163 GXX131163 HHT131163 HRP131163 IBL131163 ILH131163 IVD131163 JEZ131163 JOV131163 JYR131163 KIN131163 KSJ131163 LCF131163 LMB131163 LVX131163 MFT131163 MPP131163 MZL131163 NJH131163 NTD131163 OCZ131163 OMV131163 OWR131163 PGN131163 PQJ131163 QAF131163 QKB131163 QTX131163 RDT131163 RNP131163 RXL131163 SHH131163 SRD131163 TAZ131163 TKV131163 TUR131163 UEN131163 UOJ131163 UYF131163 VIB131163 VRX131163 WBT131163 WLP131163 WVL131163 D196699 IZ196699 SV196699 ACR196699 AMN196699 AWJ196699 BGF196699 BQB196699 BZX196699 CJT196699 CTP196699 DDL196699 DNH196699 DXD196699 EGZ196699 EQV196699 FAR196699 FKN196699 FUJ196699 GEF196699 GOB196699 GXX196699 HHT196699 HRP196699 IBL196699 ILH196699 IVD196699 JEZ196699 JOV196699 JYR196699 KIN196699 KSJ196699 LCF196699 LMB196699 LVX196699 MFT196699 MPP196699 MZL196699 NJH196699 NTD196699 OCZ196699 OMV196699 OWR196699 PGN196699 PQJ196699 QAF196699 QKB196699 QTX196699 RDT196699 RNP196699 RXL196699 SHH196699 SRD196699 TAZ196699 TKV196699 TUR196699 UEN196699 UOJ196699 UYF196699 VIB196699 VRX196699 WBT196699 WLP196699 WVL196699 D262235 IZ262235 SV262235 ACR262235 AMN262235 AWJ262235 BGF262235 BQB262235 BZX262235 CJT262235 CTP262235 DDL262235 DNH262235 DXD262235 EGZ262235 EQV262235 FAR262235 FKN262235 FUJ262235 GEF262235 GOB262235 GXX262235 HHT262235 HRP262235 IBL262235 ILH262235 IVD262235 JEZ262235 JOV262235 JYR262235 KIN262235 KSJ262235 LCF262235 LMB262235 LVX262235 MFT262235 MPP262235 MZL262235 NJH262235 NTD262235 OCZ262235 OMV262235 OWR262235 PGN262235 PQJ262235 QAF262235 QKB262235 QTX262235 RDT262235 RNP262235 RXL262235 SHH262235 SRD262235 TAZ262235 TKV262235 TUR262235 UEN262235 UOJ262235 UYF262235 VIB262235 VRX262235 WBT262235 WLP262235 WVL262235 D327771 IZ327771 SV327771 ACR327771 AMN327771 AWJ327771 BGF327771 BQB327771 BZX327771 CJT327771 CTP327771 DDL327771 DNH327771 DXD327771 EGZ327771 EQV327771 FAR327771 FKN327771 FUJ327771 GEF327771 GOB327771 GXX327771 HHT327771 HRP327771 IBL327771 ILH327771 IVD327771 JEZ327771 JOV327771 JYR327771 KIN327771 KSJ327771 LCF327771 LMB327771 LVX327771 MFT327771 MPP327771 MZL327771 NJH327771 NTD327771 OCZ327771 OMV327771 OWR327771 PGN327771 PQJ327771 QAF327771 QKB327771 QTX327771 RDT327771 RNP327771 RXL327771 SHH327771 SRD327771 TAZ327771 TKV327771 TUR327771 UEN327771 UOJ327771 UYF327771 VIB327771 VRX327771 WBT327771 WLP327771 WVL327771 D393307 IZ393307 SV393307 ACR393307 AMN393307 AWJ393307 BGF393307 BQB393307 BZX393307 CJT393307 CTP393307 DDL393307 DNH393307 DXD393307 EGZ393307 EQV393307 FAR393307 FKN393307 FUJ393307 GEF393307 GOB393307 GXX393307 HHT393307 HRP393307 IBL393307 ILH393307 IVD393307 JEZ393307 JOV393307 JYR393307 KIN393307 KSJ393307 LCF393307 LMB393307 LVX393307 MFT393307 MPP393307 MZL393307 NJH393307 NTD393307 OCZ393307 OMV393307 OWR393307 PGN393307 PQJ393307 QAF393307 QKB393307 QTX393307 RDT393307 RNP393307 RXL393307 SHH393307 SRD393307 TAZ393307 TKV393307 TUR393307 UEN393307 UOJ393307 UYF393307 VIB393307 VRX393307 WBT393307 WLP393307 WVL393307 D458843 IZ458843 SV458843 ACR458843 AMN458843 AWJ458843 BGF458843 BQB458843 BZX458843 CJT458843 CTP458843 DDL458843 DNH458843 DXD458843 EGZ458843 EQV458843 FAR458843 FKN458843 FUJ458843 GEF458843 GOB458843 GXX458843 HHT458843 HRP458843 IBL458843 ILH458843 IVD458843 JEZ458843 JOV458843 JYR458843 KIN458843 KSJ458843 LCF458843 LMB458843 LVX458843 MFT458843 MPP458843 MZL458843 NJH458843 NTD458843 OCZ458843 OMV458843 OWR458843 PGN458843 PQJ458843 QAF458843 QKB458843 QTX458843 RDT458843 RNP458843 RXL458843 SHH458843 SRD458843 TAZ458843 TKV458843 TUR458843 UEN458843 UOJ458843 UYF458843 VIB458843 VRX458843 WBT458843 WLP458843 WVL458843 D524379 IZ524379 SV524379 ACR524379 AMN524379 AWJ524379 BGF524379 BQB524379 BZX524379 CJT524379 CTP524379 DDL524379 DNH524379 DXD524379 EGZ524379 EQV524379 FAR524379 FKN524379 FUJ524379 GEF524379 GOB524379 GXX524379 HHT524379 HRP524379 IBL524379 ILH524379 IVD524379 JEZ524379 JOV524379 JYR524379 KIN524379 KSJ524379 LCF524379 LMB524379 LVX524379 MFT524379 MPP524379 MZL524379 NJH524379 NTD524379 OCZ524379 OMV524379 OWR524379 PGN524379 PQJ524379 QAF524379 QKB524379 QTX524379 RDT524379 RNP524379 RXL524379 SHH524379 SRD524379 TAZ524379 TKV524379 TUR524379 UEN524379 UOJ524379 UYF524379 VIB524379 VRX524379 WBT524379 WLP524379 WVL524379 D589915 IZ589915 SV589915 ACR589915 AMN589915 AWJ589915 BGF589915 BQB589915 BZX589915 CJT589915 CTP589915 DDL589915 DNH589915 DXD589915 EGZ589915 EQV589915 FAR589915 FKN589915 FUJ589915 GEF589915 GOB589915 GXX589915 HHT589915 HRP589915 IBL589915 ILH589915 IVD589915 JEZ589915 JOV589915 JYR589915 KIN589915 KSJ589915 LCF589915 LMB589915 LVX589915 MFT589915 MPP589915 MZL589915 NJH589915 NTD589915 OCZ589915 OMV589915 OWR589915 PGN589915 PQJ589915 QAF589915 QKB589915 QTX589915 RDT589915 RNP589915 RXL589915 SHH589915 SRD589915 TAZ589915 TKV589915 TUR589915 UEN589915 UOJ589915 UYF589915 VIB589915 VRX589915 WBT589915 WLP589915 WVL589915 D655451 IZ655451 SV655451 ACR655451 AMN655451 AWJ655451 BGF655451 BQB655451 BZX655451 CJT655451 CTP655451 DDL655451 DNH655451 DXD655451 EGZ655451 EQV655451 FAR655451 FKN655451 FUJ655451 GEF655451 GOB655451 GXX655451 HHT655451 HRP655451 IBL655451 ILH655451 IVD655451 JEZ655451 JOV655451 JYR655451 KIN655451 KSJ655451 LCF655451 LMB655451 LVX655451 MFT655451 MPP655451 MZL655451 NJH655451 NTD655451 OCZ655451 OMV655451 OWR655451 PGN655451 PQJ655451 QAF655451 QKB655451 QTX655451 RDT655451 RNP655451 RXL655451 SHH655451 SRD655451 TAZ655451 TKV655451 TUR655451 UEN655451 UOJ655451 UYF655451 VIB655451 VRX655451 WBT655451 WLP655451 WVL655451 D720987 IZ720987 SV720987 ACR720987 AMN720987 AWJ720987 BGF720987 BQB720987 BZX720987 CJT720987 CTP720987 DDL720987 DNH720987 DXD720987 EGZ720987 EQV720987 FAR720987 FKN720987 FUJ720987 GEF720987 GOB720987 GXX720987 HHT720987 HRP720987 IBL720987 ILH720987 IVD720987 JEZ720987 JOV720987 JYR720987 KIN720987 KSJ720987 LCF720987 LMB720987 LVX720987 MFT720987 MPP720987 MZL720987 NJH720987 NTD720987 OCZ720987 OMV720987 OWR720987 PGN720987 PQJ720987 QAF720987 QKB720987 QTX720987 RDT720987 RNP720987 RXL720987 SHH720987 SRD720987 TAZ720987 TKV720987 TUR720987 UEN720987 UOJ720987 UYF720987 VIB720987 VRX720987 WBT720987 WLP720987 WVL720987 D786523 IZ786523 SV786523 ACR786523 AMN786523 AWJ786523 BGF786523 BQB786523 BZX786523 CJT786523 CTP786523 DDL786523 DNH786523 DXD786523 EGZ786523 EQV786523 FAR786523 FKN786523 FUJ786523 GEF786523 GOB786523 GXX786523 HHT786523 HRP786523 IBL786523 ILH786523 IVD786523 JEZ786523 JOV786523 JYR786523 KIN786523 KSJ786523 LCF786523 LMB786523 LVX786523 MFT786523 MPP786523 MZL786523 NJH786523 NTD786523 OCZ786523 OMV786523 OWR786523 PGN786523 PQJ786523 QAF786523 QKB786523 QTX786523 RDT786523 RNP786523 RXL786523 SHH786523 SRD786523 TAZ786523 TKV786523 TUR786523 UEN786523 UOJ786523 UYF786523 VIB786523 VRX786523 WBT786523 WLP786523 WVL786523 D852059 IZ852059 SV852059 ACR852059 AMN852059 AWJ852059 BGF852059 BQB852059 BZX852059 CJT852059 CTP852059 DDL852059 DNH852059 DXD852059 EGZ852059 EQV852059 FAR852059 FKN852059 FUJ852059 GEF852059 GOB852059 GXX852059 HHT852059 HRP852059 IBL852059 ILH852059 IVD852059 JEZ852059 JOV852059 JYR852059 KIN852059 KSJ852059 LCF852059 LMB852059 LVX852059 MFT852059 MPP852059 MZL852059 NJH852059 NTD852059 OCZ852059 OMV852059 OWR852059 PGN852059 PQJ852059 QAF852059 QKB852059 QTX852059 RDT852059 RNP852059 RXL852059 SHH852059 SRD852059 TAZ852059 TKV852059 TUR852059 UEN852059 UOJ852059 UYF852059 VIB852059 VRX852059 WBT852059 WLP852059 WVL852059 D917595 IZ917595 SV917595 ACR917595 AMN917595 AWJ917595 BGF917595 BQB917595 BZX917595 CJT917595 CTP917595 DDL917595 DNH917595 DXD917595 EGZ917595 EQV917595 FAR917595 FKN917595 FUJ917595 GEF917595 GOB917595 GXX917595 HHT917595 HRP917595 IBL917595 ILH917595 IVD917595 JEZ917595 JOV917595 JYR917595 KIN917595 KSJ917595 LCF917595 LMB917595 LVX917595 MFT917595 MPP917595 MZL917595 NJH917595 NTD917595 OCZ917595 OMV917595 OWR917595 PGN917595 PQJ917595 QAF917595 QKB917595 QTX917595 RDT917595 RNP917595 RXL917595 SHH917595 SRD917595 TAZ917595 TKV917595 TUR917595 UEN917595 UOJ917595 UYF917595 VIB917595 VRX917595 WBT917595 WLP917595 WVL917595 D983131 IZ983131 SV983131 ACR983131 AMN983131 AWJ983131 BGF983131 BQB983131 BZX983131 CJT983131 CTP983131 DDL983131 DNH983131 DXD983131 EGZ983131 EQV983131 FAR983131 FKN983131 FUJ983131 GEF983131 GOB983131 GXX983131 HHT983131 HRP983131 IBL983131 ILH983131 IVD983131 JEZ983131 JOV983131 JYR983131 KIN983131 KSJ983131 LCF983131 LMB983131 LVX983131 MFT983131 MPP983131 MZL983131 NJH983131 NTD983131 OCZ983131 OMV983131 OWR983131 PGN983131 PQJ983131 QAF983131 QKB983131 QTX983131 RDT983131 RNP983131 RXL983131 SHH983131 SRD983131 TAZ983131 TKV983131 TUR983131 UEN983131 UOJ983131 UYF983131 VIB983131 VRX983131 WBT983131 WLP983131 WVL983131 C78 IY78 SU78 ACQ78 AMM78 AWI78 BGE78 BQA78 BZW78 CJS78 CTO78 DDK78 DNG78 DXC78 EGY78 EQU78 FAQ78 FKM78 FUI78 GEE78 GOA78 GXW78 HHS78 HRO78 IBK78 ILG78 IVC78 JEY78 JOU78 JYQ78 KIM78 KSI78 LCE78 LMA78 LVW78 MFS78 MPO78 MZK78 NJG78 NTC78 OCY78 OMU78 OWQ78 PGM78 PQI78 QAE78 QKA78 QTW78 RDS78 RNO78 RXK78 SHG78 SRC78 TAY78 TKU78 TUQ78 UEM78 UOI78 UYE78 VIA78 VRW78 WBS78 WLO78 WVK78 C65611 IY65611 SU65611 ACQ65611 AMM65611 AWI65611 BGE65611 BQA65611 BZW65611 CJS65611 CTO65611 DDK65611 DNG65611 DXC65611 EGY65611 EQU65611 FAQ65611 FKM65611 FUI65611 GEE65611 GOA65611 GXW65611 HHS65611 HRO65611 IBK65611 ILG65611 IVC65611 JEY65611 JOU65611 JYQ65611 KIM65611 KSI65611 LCE65611 LMA65611 LVW65611 MFS65611 MPO65611 MZK65611 NJG65611 NTC65611 OCY65611 OMU65611 OWQ65611 PGM65611 PQI65611 QAE65611 QKA65611 QTW65611 RDS65611 RNO65611 RXK65611 SHG65611 SRC65611 TAY65611 TKU65611 TUQ65611 UEM65611 UOI65611 UYE65611 VIA65611 VRW65611 WBS65611 WLO65611 WVK65611 C131147 IY131147 SU131147 ACQ131147 AMM131147 AWI131147 BGE131147 BQA131147 BZW131147 CJS131147 CTO131147 DDK131147 DNG131147 DXC131147 EGY131147 EQU131147 FAQ131147 FKM131147 FUI131147 GEE131147 GOA131147 GXW131147 HHS131147 HRO131147 IBK131147 ILG131147 IVC131147 JEY131147 JOU131147 JYQ131147 KIM131147 KSI131147 LCE131147 LMA131147 LVW131147 MFS131147 MPO131147 MZK131147 NJG131147 NTC131147 OCY131147 OMU131147 OWQ131147 PGM131147 PQI131147 QAE131147 QKA131147 QTW131147 RDS131147 RNO131147 RXK131147 SHG131147 SRC131147 TAY131147 TKU131147 TUQ131147 UEM131147 UOI131147 UYE131147 VIA131147 VRW131147 WBS131147 WLO131147 WVK131147 C196683 IY196683 SU196683 ACQ196683 AMM196683 AWI196683 BGE196683 BQA196683 BZW196683 CJS196683 CTO196683 DDK196683 DNG196683 DXC196683 EGY196683 EQU196683 FAQ196683 FKM196683 FUI196683 GEE196683 GOA196683 GXW196683 HHS196683 HRO196683 IBK196683 ILG196683 IVC196683 JEY196683 JOU196683 JYQ196683 KIM196683 KSI196683 LCE196683 LMA196683 LVW196683 MFS196683 MPO196683 MZK196683 NJG196683 NTC196683 OCY196683 OMU196683 OWQ196683 PGM196683 PQI196683 QAE196683 QKA196683 QTW196683 RDS196683 RNO196683 RXK196683 SHG196683 SRC196683 TAY196683 TKU196683 TUQ196683 UEM196683 UOI196683 UYE196683 VIA196683 VRW196683 WBS196683 WLO196683 WVK196683 C262219 IY262219 SU262219 ACQ262219 AMM262219 AWI262219 BGE262219 BQA262219 BZW262219 CJS262219 CTO262219 DDK262219 DNG262219 DXC262219 EGY262219 EQU262219 FAQ262219 FKM262219 FUI262219 GEE262219 GOA262219 GXW262219 HHS262219 HRO262219 IBK262219 ILG262219 IVC262219 JEY262219 JOU262219 JYQ262219 KIM262219 KSI262219 LCE262219 LMA262219 LVW262219 MFS262219 MPO262219 MZK262219 NJG262219 NTC262219 OCY262219 OMU262219 OWQ262219 PGM262219 PQI262219 QAE262219 QKA262219 QTW262219 RDS262219 RNO262219 RXK262219 SHG262219 SRC262219 TAY262219 TKU262219 TUQ262219 UEM262219 UOI262219 UYE262219 VIA262219 VRW262219 WBS262219 WLO262219 WVK262219 C327755 IY327755 SU327755 ACQ327755 AMM327755 AWI327755 BGE327755 BQA327755 BZW327755 CJS327755 CTO327755 DDK327755 DNG327755 DXC327755 EGY327755 EQU327755 FAQ327755 FKM327755 FUI327755 GEE327755 GOA327755 GXW327755 HHS327755 HRO327755 IBK327755 ILG327755 IVC327755 JEY327755 JOU327755 JYQ327755 KIM327755 KSI327755 LCE327755 LMA327755 LVW327755 MFS327755 MPO327755 MZK327755 NJG327755 NTC327755 OCY327755 OMU327755 OWQ327755 PGM327755 PQI327755 QAE327755 QKA327755 QTW327755 RDS327755 RNO327755 RXK327755 SHG327755 SRC327755 TAY327755 TKU327755 TUQ327755 UEM327755 UOI327755 UYE327755 VIA327755 VRW327755 WBS327755 WLO327755 WVK327755 C393291 IY393291 SU393291 ACQ393291 AMM393291 AWI393291 BGE393291 BQA393291 BZW393291 CJS393291 CTO393291 DDK393291 DNG393291 DXC393291 EGY393291 EQU393291 FAQ393291 FKM393291 FUI393291 GEE393291 GOA393291 GXW393291 HHS393291 HRO393291 IBK393291 ILG393291 IVC393291 JEY393291 JOU393291 JYQ393291 KIM393291 KSI393291 LCE393291 LMA393291 LVW393291 MFS393291 MPO393291 MZK393291 NJG393291 NTC393291 OCY393291 OMU393291 OWQ393291 PGM393291 PQI393291 QAE393291 QKA393291 QTW393291 RDS393291 RNO393291 RXK393291 SHG393291 SRC393291 TAY393291 TKU393291 TUQ393291 UEM393291 UOI393291 UYE393291 VIA393291 VRW393291 WBS393291 WLO393291 WVK393291 C458827 IY458827 SU458827 ACQ458827 AMM458827 AWI458827 BGE458827 BQA458827 BZW458827 CJS458827 CTO458827 DDK458827 DNG458827 DXC458827 EGY458827 EQU458827 FAQ458827 FKM458827 FUI458827 GEE458827 GOA458827 GXW458827 HHS458827 HRO458827 IBK458827 ILG458827 IVC458827 JEY458827 JOU458827 JYQ458827 KIM458827 KSI458827 LCE458827 LMA458827 LVW458827 MFS458827 MPO458827 MZK458827 NJG458827 NTC458827 OCY458827 OMU458827 OWQ458827 PGM458827 PQI458827 QAE458827 QKA458827 QTW458827 RDS458827 RNO458827 RXK458827 SHG458827 SRC458827 TAY458827 TKU458827 TUQ458827 UEM458827 UOI458827 UYE458827 VIA458827 VRW458827 WBS458827 WLO458827 WVK458827 C524363 IY524363 SU524363 ACQ524363 AMM524363 AWI524363 BGE524363 BQA524363 BZW524363 CJS524363 CTO524363 DDK524363 DNG524363 DXC524363 EGY524363 EQU524363 FAQ524363 FKM524363 FUI524363 GEE524363 GOA524363 GXW524363 HHS524363 HRO524363 IBK524363 ILG524363 IVC524363 JEY524363 JOU524363 JYQ524363 KIM524363 KSI524363 LCE524363 LMA524363 LVW524363 MFS524363 MPO524363 MZK524363 NJG524363 NTC524363 OCY524363 OMU524363 OWQ524363 PGM524363 PQI524363 QAE524363 QKA524363 QTW524363 RDS524363 RNO524363 RXK524363 SHG524363 SRC524363 TAY524363 TKU524363 TUQ524363 UEM524363 UOI524363 UYE524363 VIA524363 VRW524363 WBS524363 WLO524363 WVK524363 C589899 IY589899 SU589899 ACQ589899 AMM589899 AWI589899 BGE589899 BQA589899 BZW589899 CJS589899 CTO589899 DDK589899 DNG589899 DXC589899 EGY589899 EQU589899 FAQ589899 FKM589899 FUI589899 GEE589899 GOA589899 GXW589899 HHS589899 HRO589899 IBK589899 ILG589899 IVC589899 JEY589899 JOU589899 JYQ589899 KIM589899 KSI589899 LCE589899 LMA589899 LVW589899 MFS589899 MPO589899 MZK589899 NJG589899 NTC589899 OCY589899 OMU589899 OWQ589899 PGM589899 PQI589899 QAE589899 QKA589899 QTW589899 RDS589899 RNO589899 RXK589899 SHG589899 SRC589899 TAY589899 TKU589899 TUQ589899 UEM589899 UOI589899 UYE589899 VIA589899 VRW589899 WBS589899 WLO589899 WVK589899 C655435 IY655435 SU655435 ACQ655435 AMM655435 AWI655435 BGE655435 BQA655435 BZW655435 CJS655435 CTO655435 DDK655435 DNG655435 DXC655435 EGY655435 EQU655435 FAQ655435 FKM655435 FUI655435 GEE655435 GOA655435 GXW655435 HHS655435 HRO655435 IBK655435 ILG655435 IVC655435 JEY655435 JOU655435 JYQ655435 KIM655435 KSI655435 LCE655435 LMA655435 LVW655435 MFS655435 MPO655435 MZK655435 NJG655435 NTC655435 OCY655435 OMU655435 OWQ655435 PGM655435 PQI655435 QAE655435 QKA655435 QTW655435 RDS655435 RNO655435 RXK655435 SHG655435 SRC655435 TAY655435 TKU655435 TUQ655435 UEM655435 UOI655435 UYE655435 VIA655435 VRW655435 WBS655435 WLO655435 WVK655435 C720971 IY720971 SU720971 ACQ720971 AMM720971 AWI720971 BGE720971 BQA720971 BZW720971 CJS720971 CTO720971 DDK720971 DNG720971 DXC720971 EGY720971 EQU720971 FAQ720971 FKM720971 FUI720971 GEE720971 GOA720971 GXW720971 HHS720971 HRO720971 IBK720971 ILG720971 IVC720971 JEY720971 JOU720971 JYQ720971 KIM720971 KSI720971 LCE720971 LMA720971 LVW720971 MFS720971 MPO720971 MZK720971 NJG720971 NTC720971 OCY720971 OMU720971 OWQ720971 PGM720971 PQI720971 QAE720971 QKA720971 QTW720971 RDS720971 RNO720971 RXK720971 SHG720971 SRC720971 TAY720971 TKU720971 TUQ720971 UEM720971 UOI720971 UYE720971 VIA720971 VRW720971 WBS720971 WLO720971 WVK720971 C786507 IY786507 SU786507 ACQ786507 AMM786507 AWI786507 BGE786507 BQA786507 BZW786507 CJS786507 CTO786507 DDK786507 DNG786507 DXC786507 EGY786507 EQU786507 FAQ786507 FKM786507 FUI786507 GEE786507 GOA786507 GXW786507 HHS786507 HRO786507 IBK786507 ILG786507 IVC786507 JEY786507 JOU786507 JYQ786507 KIM786507 KSI786507 LCE786507 LMA786507 LVW786507 MFS786507 MPO786507 MZK786507 NJG786507 NTC786507 OCY786507 OMU786507 OWQ786507 PGM786507 PQI786507 QAE786507 QKA786507 QTW786507 RDS786507 RNO786507 RXK786507 SHG786507 SRC786507 TAY786507 TKU786507 TUQ786507 UEM786507 UOI786507 UYE786507 VIA786507 VRW786507 WBS786507 WLO786507 WVK786507 C852043 IY852043 SU852043 ACQ852043 AMM852043 AWI852043 BGE852043 BQA852043 BZW852043 CJS852043 CTO852043 DDK852043 DNG852043 DXC852043 EGY852043 EQU852043 FAQ852043 FKM852043 FUI852043 GEE852043 GOA852043 GXW852043 HHS852043 HRO852043 IBK852043 ILG852043 IVC852043 JEY852043 JOU852043 JYQ852043 KIM852043 KSI852043 LCE852043 LMA852043 LVW852043 MFS852043 MPO852043 MZK852043 NJG852043 NTC852043 OCY852043 OMU852043 OWQ852043 PGM852043 PQI852043 QAE852043 QKA852043 QTW852043 RDS852043 RNO852043 RXK852043 SHG852043 SRC852043 TAY852043 TKU852043 TUQ852043 UEM852043 UOI852043 UYE852043 VIA852043 VRW852043 WBS852043 WLO852043 WVK852043 C917579 IY917579 SU917579 ACQ917579 AMM917579 AWI917579 BGE917579 BQA917579 BZW917579 CJS917579 CTO917579 DDK917579 DNG917579 DXC917579 EGY917579 EQU917579 FAQ917579 FKM917579 FUI917579 GEE917579 GOA917579 GXW917579 HHS917579 HRO917579 IBK917579 ILG917579 IVC917579 JEY917579 JOU917579 JYQ917579 KIM917579 KSI917579 LCE917579 LMA917579 LVW917579 MFS917579 MPO917579 MZK917579 NJG917579 NTC917579 OCY917579 OMU917579 OWQ917579 PGM917579 PQI917579 QAE917579 QKA917579 QTW917579 RDS917579 RNO917579 RXK917579 SHG917579 SRC917579 TAY917579 TKU917579 TUQ917579 UEM917579 UOI917579 UYE917579 VIA917579 VRW917579 WBS917579 WLO917579 WVK917579 C983115 IY983115 SU983115 ACQ983115 AMM983115 AWI983115 BGE983115 BQA983115 BZW983115 CJS983115 CTO983115 DDK983115 DNG983115 DXC983115 EGY983115 EQU983115 FAQ983115 FKM983115 FUI983115 GEE983115 GOA983115 GXW983115 HHS983115 HRO983115 IBK983115 ILG983115 IVC983115 JEY983115 JOU983115 JYQ983115 KIM983115 KSI983115 LCE983115 LMA983115 LVW983115 MFS983115 MPO983115 MZK983115 NJG983115 NTC983115 OCY983115 OMU983115 OWQ983115 PGM983115 PQI983115 QAE983115 QKA983115 QTW983115 RDS983115 RNO983115 RXK983115 SHG983115 SRC983115 TAY983115 TKU983115 TUQ983115 UEM983115 UOI983115 UYE983115 VIA983115 VRW983115 WBS983115 WLO983115 WVK983115" xr:uid="{00000000-0002-0000-0000-00000A000000}">
      <formula1>"MENSUAL, TRIMESTRAL, SEMESTRAL, ANUAL"</formula1>
    </dataValidation>
    <dataValidation type="whole" allowBlank="1" showInputMessage="1" showErrorMessage="1" sqref="B11 IX11 ST11 ACP11 AML11 AWH11 BGD11 BPZ11 BZV11 CJR11 CTN11 DDJ11 DNF11 DXB11 EGX11 EQT11 FAP11 FKL11 FUH11 GED11 GNZ11 GXV11 HHR11 HRN11 IBJ11 ILF11 IVB11 JEX11 JOT11 JYP11 KIL11 KSH11 LCD11 LLZ11 LVV11 MFR11 MPN11 MZJ11 NJF11 NTB11 OCX11 OMT11 OWP11 PGL11 PQH11 QAD11 QJZ11 QTV11 RDR11 RNN11 RXJ11 SHF11 SRB11 TAX11 TKT11 TUP11 UEL11 UOH11 UYD11 VHZ11 VRV11 WBR11 WLN11 WVJ11 B65546 IX65546 ST65546 ACP65546 AML65546 AWH65546 BGD65546 BPZ65546 BZV65546 CJR65546 CTN65546 DDJ65546 DNF65546 DXB65546 EGX65546 EQT65546 FAP65546 FKL65546 FUH65546 GED65546 GNZ65546 GXV65546 HHR65546 HRN65546 IBJ65546 ILF65546 IVB65546 JEX65546 JOT65546 JYP65546 KIL65546 KSH65546 LCD65546 LLZ65546 LVV65546 MFR65546 MPN65546 MZJ65546 NJF65546 NTB65546 OCX65546 OMT65546 OWP65546 PGL65546 PQH65546 QAD65546 QJZ65546 QTV65546 RDR65546 RNN65546 RXJ65546 SHF65546 SRB65546 TAX65546 TKT65546 TUP65546 UEL65546 UOH65546 UYD65546 VHZ65546 VRV65546 WBR65546 WLN65546 WVJ65546 B131082 IX131082 ST131082 ACP131082 AML131082 AWH131082 BGD131082 BPZ131082 BZV131082 CJR131082 CTN131082 DDJ131082 DNF131082 DXB131082 EGX131082 EQT131082 FAP131082 FKL131082 FUH131082 GED131082 GNZ131082 GXV131082 HHR131082 HRN131082 IBJ131082 ILF131082 IVB131082 JEX131082 JOT131082 JYP131082 KIL131082 KSH131082 LCD131082 LLZ131082 LVV131082 MFR131082 MPN131082 MZJ131082 NJF131082 NTB131082 OCX131082 OMT131082 OWP131082 PGL131082 PQH131082 QAD131082 QJZ131082 QTV131082 RDR131082 RNN131082 RXJ131082 SHF131082 SRB131082 TAX131082 TKT131082 TUP131082 UEL131082 UOH131082 UYD131082 VHZ131082 VRV131082 WBR131082 WLN131082 WVJ131082 B196618 IX196618 ST196618 ACP196618 AML196618 AWH196618 BGD196618 BPZ196618 BZV196618 CJR196618 CTN196618 DDJ196618 DNF196618 DXB196618 EGX196618 EQT196618 FAP196618 FKL196618 FUH196618 GED196618 GNZ196618 GXV196618 HHR196618 HRN196618 IBJ196618 ILF196618 IVB196618 JEX196618 JOT196618 JYP196618 KIL196618 KSH196618 LCD196618 LLZ196618 LVV196618 MFR196618 MPN196618 MZJ196618 NJF196618 NTB196618 OCX196618 OMT196618 OWP196618 PGL196618 PQH196618 QAD196618 QJZ196618 QTV196618 RDR196618 RNN196618 RXJ196618 SHF196618 SRB196618 TAX196618 TKT196618 TUP196618 UEL196618 UOH196618 UYD196618 VHZ196618 VRV196618 WBR196618 WLN196618 WVJ196618 B262154 IX262154 ST262154 ACP262154 AML262154 AWH262154 BGD262154 BPZ262154 BZV262154 CJR262154 CTN262154 DDJ262154 DNF262154 DXB262154 EGX262154 EQT262154 FAP262154 FKL262154 FUH262154 GED262154 GNZ262154 GXV262154 HHR262154 HRN262154 IBJ262154 ILF262154 IVB262154 JEX262154 JOT262154 JYP262154 KIL262154 KSH262154 LCD262154 LLZ262154 LVV262154 MFR262154 MPN262154 MZJ262154 NJF262154 NTB262154 OCX262154 OMT262154 OWP262154 PGL262154 PQH262154 QAD262154 QJZ262154 QTV262154 RDR262154 RNN262154 RXJ262154 SHF262154 SRB262154 TAX262154 TKT262154 TUP262154 UEL262154 UOH262154 UYD262154 VHZ262154 VRV262154 WBR262154 WLN262154 WVJ262154 B327690 IX327690 ST327690 ACP327690 AML327690 AWH327690 BGD327690 BPZ327690 BZV327690 CJR327690 CTN327690 DDJ327690 DNF327690 DXB327690 EGX327690 EQT327690 FAP327690 FKL327690 FUH327690 GED327690 GNZ327690 GXV327690 HHR327690 HRN327690 IBJ327690 ILF327690 IVB327690 JEX327690 JOT327690 JYP327690 KIL327690 KSH327690 LCD327690 LLZ327690 LVV327690 MFR327690 MPN327690 MZJ327690 NJF327690 NTB327690 OCX327690 OMT327690 OWP327690 PGL327690 PQH327690 QAD327690 QJZ327690 QTV327690 RDR327690 RNN327690 RXJ327690 SHF327690 SRB327690 TAX327690 TKT327690 TUP327690 UEL327690 UOH327690 UYD327690 VHZ327690 VRV327690 WBR327690 WLN327690 WVJ327690 B393226 IX393226 ST393226 ACP393226 AML393226 AWH393226 BGD393226 BPZ393226 BZV393226 CJR393226 CTN393226 DDJ393226 DNF393226 DXB393226 EGX393226 EQT393226 FAP393226 FKL393226 FUH393226 GED393226 GNZ393226 GXV393226 HHR393226 HRN393226 IBJ393226 ILF393226 IVB393226 JEX393226 JOT393226 JYP393226 KIL393226 KSH393226 LCD393226 LLZ393226 LVV393226 MFR393226 MPN393226 MZJ393226 NJF393226 NTB393226 OCX393226 OMT393226 OWP393226 PGL393226 PQH393226 QAD393226 QJZ393226 QTV393226 RDR393226 RNN393226 RXJ393226 SHF393226 SRB393226 TAX393226 TKT393226 TUP393226 UEL393226 UOH393226 UYD393226 VHZ393226 VRV393226 WBR393226 WLN393226 WVJ393226 B458762 IX458762 ST458762 ACP458762 AML458762 AWH458762 BGD458762 BPZ458762 BZV458762 CJR458762 CTN458762 DDJ458762 DNF458762 DXB458762 EGX458762 EQT458762 FAP458762 FKL458762 FUH458762 GED458762 GNZ458762 GXV458762 HHR458762 HRN458762 IBJ458762 ILF458762 IVB458762 JEX458762 JOT458762 JYP458762 KIL458762 KSH458762 LCD458762 LLZ458762 LVV458762 MFR458762 MPN458762 MZJ458762 NJF458762 NTB458762 OCX458762 OMT458762 OWP458762 PGL458762 PQH458762 QAD458762 QJZ458762 QTV458762 RDR458762 RNN458762 RXJ458762 SHF458762 SRB458762 TAX458762 TKT458762 TUP458762 UEL458762 UOH458762 UYD458762 VHZ458762 VRV458762 WBR458762 WLN458762 WVJ458762 B524298 IX524298 ST524298 ACP524298 AML524298 AWH524298 BGD524298 BPZ524298 BZV524298 CJR524298 CTN524298 DDJ524298 DNF524298 DXB524298 EGX524298 EQT524298 FAP524298 FKL524298 FUH524298 GED524298 GNZ524298 GXV524298 HHR524298 HRN524298 IBJ524298 ILF524298 IVB524298 JEX524298 JOT524298 JYP524298 KIL524298 KSH524298 LCD524298 LLZ524298 LVV524298 MFR524298 MPN524298 MZJ524298 NJF524298 NTB524298 OCX524298 OMT524298 OWP524298 PGL524298 PQH524298 QAD524298 QJZ524298 QTV524298 RDR524298 RNN524298 RXJ524298 SHF524298 SRB524298 TAX524298 TKT524298 TUP524298 UEL524298 UOH524298 UYD524298 VHZ524298 VRV524298 WBR524298 WLN524298 WVJ524298 B589834 IX589834 ST589834 ACP589834 AML589834 AWH589834 BGD589834 BPZ589834 BZV589834 CJR589834 CTN589834 DDJ589834 DNF589834 DXB589834 EGX589834 EQT589834 FAP589834 FKL589834 FUH589834 GED589834 GNZ589834 GXV589834 HHR589834 HRN589834 IBJ589834 ILF589834 IVB589834 JEX589834 JOT589834 JYP589834 KIL589834 KSH589834 LCD589834 LLZ589834 LVV589834 MFR589834 MPN589834 MZJ589834 NJF589834 NTB589834 OCX589834 OMT589834 OWP589834 PGL589834 PQH589834 QAD589834 QJZ589834 QTV589834 RDR589834 RNN589834 RXJ589834 SHF589834 SRB589834 TAX589834 TKT589834 TUP589834 UEL589834 UOH589834 UYD589834 VHZ589834 VRV589834 WBR589834 WLN589834 WVJ589834 B655370 IX655370 ST655370 ACP655370 AML655370 AWH655370 BGD655370 BPZ655370 BZV655370 CJR655370 CTN655370 DDJ655370 DNF655370 DXB655370 EGX655370 EQT655370 FAP655370 FKL655370 FUH655370 GED655370 GNZ655370 GXV655370 HHR655370 HRN655370 IBJ655370 ILF655370 IVB655370 JEX655370 JOT655370 JYP655370 KIL655370 KSH655370 LCD655370 LLZ655370 LVV655370 MFR655370 MPN655370 MZJ655370 NJF655370 NTB655370 OCX655370 OMT655370 OWP655370 PGL655370 PQH655370 QAD655370 QJZ655370 QTV655370 RDR655370 RNN655370 RXJ655370 SHF655370 SRB655370 TAX655370 TKT655370 TUP655370 UEL655370 UOH655370 UYD655370 VHZ655370 VRV655370 WBR655370 WLN655370 WVJ655370 B720906 IX720906 ST720906 ACP720906 AML720906 AWH720906 BGD720906 BPZ720906 BZV720906 CJR720906 CTN720906 DDJ720906 DNF720906 DXB720906 EGX720906 EQT720906 FAP720906 FKL720906 FUH720906 GED720906 GNZ720906 GXV720906 HHR720906 HRN720906 IBJ720906 ILF720906 IVB720906 JEX720906 JOT720906 JYP720906 KIL720906 KSH720906 LCD720906 LLZ720906 LVV720906 MFR720906 MPN720906 MZJ720906 NJF720906 NTB720906 OCX720906 OMT720906 OWP720906 PGL720906 PQH720906 QAD720906 QJZ720906 QTV720906 RDR720906 RNN720906 RXJ720906 SHF720906 SRB720906 TAX720906 TKT720906 TUP720906 UEL720906 UOH720906 UYD720906 VHZ720906 VRV720906 WBR720906 WLN720906 WVJ720906 B786442 IX786442 ST786442 ACP786442 AML786442 AWH786442 BGD786442 BPZ786442 BZV786442 CJR786442 CTN786442 DDJ786442 DNF786442 DXB786442 EGX786442 EQT786442 FAP786442 FKL786442 FUH786442 GED786442 GNZ786442 GXV786442 HHR786442 HRN786442 IBJ786442 ILF786442 IVB786442 JEX786442 JOT786442 JYP786442 KIL786442 KSH786442 LCD786442 LLZ786442 LVV786442 MFR786442 MPN786442 MZJ786442 NJF786442 NTB786442 OCX786442 OMT786442 OWP786442 PGL786442 PQH786442 QAD786442 QJZ786442 QTV786442 RDR786442 RNN786442 RXJ786442 SHF786442 SRB786442 TAX786442 TKT786442 TUP786442 UEL786442 UOH786442 UYD786442 VHZ786442 VRV786442 WBR786442 WLN786442 WVJ786442 B851978 IX851978 ST851978 ACP851978 AML851978 AWH851978 BGD851978 BPZ851978 BZV851978 CJR851978 CTN851978 DDJ851978 DNF851978 DXB851978 EGX851978 EQT851978 FAP851978 FKL851978 FUH851978 GED851978 GNZ851978 GXV851978 HHR851978 HRN851978 IBJ851978 ILF851978 IVB851978 JEX851978 JOT851978 JYP851978 KIL851978 KSH851978 LCD851978 LLZ851978 LVV851978 MFR851978 MPN851978 MZJ851978 NJF851978 NTB851978 OCX851978 OMT851978 OWP851978 PGL851978 PQH851978 QAD851978 QJZ851978 QTV851978 RDR851978 RNN851978 RXJ851978 SHF851978 SRB851978 TAX851978 TKT851978 TUP851978 UEL851978 UOH851978 UYD851978 VHZ851978 VRV851978 WBR851978 WLN851978 WVJ851978 B917514 IX917514 ST917514 ACP917514 AML917514 AWH917514 BGD917514 BPZ917514 BZV917514 CJR917514 CTN917514 DDJ917514 DNF917514 DXB917514 EGX917514 EQT917514 FAP917514 FKL917514 FUH917514 GED917514 GNZ917514 GXV917514 HHR917514 HRN917514 IBJ917514 ILF917514 IVB917514 JEX917514 JOT917514 JYP917514 KIL917514 KSH917514 LCD917514 LLZ917514 LVV917514 MFR917514 MPN917514 MZJ917514 NJF917514 NTB917514 OCX917514 OMT917514 OWP917514 PGL917514 PQH917514 QAD917514 QJZ917514 QTV917514 RDR917514 RNN917514 RXJ917514 SHF917514 SRB917514 TAX917514 TKT917514 TUP917514 UEL917514 UOH917514 UYD917514 VHZ917514 VRV917514 WBR917514 WLN917514 WVJ917514 B983050 IX983050 ST983050 ACP983050 AML983050 AWH983050 BGD983050 BPZ983050 BZV983050 CJR983050 CTN983050 DDJ983050 DNF983050 DXB983050 EGX983050 EQT983050 FAP983050 FKL983050 FUH983050 GED983050 GNZ983050 GXV983050 HHR983050 HRN983050 IBJ983050 ILF983050 IVB983050 JEX983050 JOT983050 JYP983050 KIL983050 KSH983050 LCD983050 LLZ983050 LVV983050 MFR983050 MPN983050 MZJ983050 NJF983050 NTB983050 OCX983050 OMT983050 OWP983050 PGL983050 PQH983050 QAD983050 QJZ983050 QTV983050 RDR983050 RNN983050 RXJ983050 SHF983050 SRB983050 TAX983050 TKT983050 TUP983050 UEL983050 UOH983050 UYD983050 VHZ983050 VRV983050 WBR983050 WLN983050 WVJ983050" xr:uid="{00000000-0002-0000-0000-00000B000000}">
      <formula1>1</formula1>
      <formula2>9.99999999999999E+21</formula2>
    </dataValidation>
    <dataValidation type="whole" allowBlank="1" showInputMessage="1" showErrorMessage="1" sqref="B42:B51 IX42:IX51 ST42:ST51 ACP42:ACP51 AML42:AML51 AWH42:AWH51 BGD42:BGD51 BPZ42:BPZ51 BZV42:BZV51 CJR42:CJR51 CTN42:CTN51 DDJ42:DDJ51 DNF42:DNF51 DXB42:DXB51 EGX42:EGX51 EQT42:EQT51 FAP42:FAP51 FKL42:FKL51 FUH42:FUH51 GED42:GED51 GNZ42:GNZ51 GXV42:GXV51 HHR42:HHR51 HRN42:HRN51 IBJ42:IBJ51 ILF42:ILF51 IVB42:IVB51 JEX42:JEX51 JOT42:JOT51 JYP42:JYP51 KIL42:KIL51 KSH42:KSH51 LCD42:LCD51 LLZ42:LLZ51 LVV42:LVV51 MFR42:MFR51 MPN42:MPN51 MZJ42:MZJ51 NJF42:NJF51 NTB42:NTB51 OCX42:OCX51 OMT42:OMT51 OWP42:OWP51 PGL42:PGL51 PQH42:PQH51 QAD42:QAD51 QJZ42:QJZ51 QTV42:QTV51 RDR42:RDR51 RNN42:RNN51 RXJ42:RXJ51 SHF42:SHF51 SRB42:SRB51 TAX42:TAX51 TKT42:TKT51 TUP42:TUP51 UEL42:UEL51 UOH42:UOH51 UYD42:UYD51 VHZ42:VHZ51 VRV42:VRV51 WBR42:WBR51 WLN42:WLN51 WVJ42:WVJ51 B65575:B65584 IX65575:IX65584 ST65575:ST65584 ACP65575:ACP65584 AML65575:AML65584 AWH65575:AWH65584 BGD65575:BGD65584 BPZ65575:BPZ65584 BZV65575:BZV65584 CJR65575:CJR65584 CTN65575:CTN65584 DDJ65575:DDJ65584 DNF65575:DNF65584 DXB65575:DXB65584 EGX65575:EGX65584 EQT65575:EQT65584 FAP65575:FAP65584 FKL65575:FKL65584 FUH65575:FUH65584 GED65575:GED65584 GNZ65575:GNZ65584 GXV65575:GXV65584 HHR65575:HHR65584 HRN65575:HRN65584 IBJ65575:IBJ65584 ILF65575:ILF65584 IVB65575:IVB65584 JEX65575:JEX65584 JOT65575:JOT65584 JYP65575:JYP65584 KIL65575:KIL65584 KSH65575:KSH65584 LCD65575:LCD65584 LLZ65575:LLZ65584 LVV65575:LVV65584 MFR65575:MFR65584 MPN65575:MPN65584 MZJ65575:MZJ65584 NJF65575:NJF65584 NTB65575:NTB65584 OCX65575:OCX65584 OMT65575:OMT65584 OWP65575:OWP65584 PGL65575:PGL65584 PQH65575:PQH65584 QAD65575:QAD65584 QJZ65575:QJZ65584 QTV65575:QTV65584 RDR65575:RDR65584 RNN65575:RNN65584 RXJ65575:RXJ65584 SHF65575:SHF65584 SRB65575:SRB65584 TAX65575:TAX65584 TKT65575:TKT65584 TUP65575:TUP65584 UEL65575:UEL65584 UOH65575:UOH65584 UYD65575:UYD65584 VHZ65575:VHZ65584 VRV65575:VRV65584 WBR65575:WBR65584 WLN65575:WLN65584 WVJ65575:WVJ65584 B131111:B131120 IX131111:IX131120 ST131111:ST131120 ACP131111:ACP131120 AML131111:AML131120 AWH131111:AWH131120 BGD131111:BGD131120 BPZ131111:BPZ131120 BZV131111:BZV131120 CJR131111:CJR131120 CTN131111:CTN131120 DDJ131111:DDJ131120 DNF131111:DNF131120 DXB131111:DXB131120 EGX131111:EGX131120 EQT131111:EQT131120 FAP131111:FAP131120 FKL131111:FKL131120 FUH131111:FUH131120 GED131111:GED131120 GNZ131111:GNZ131120 GXV131111:GXV131120 HHR131111:HHR131120 HRN131111:HRN131120 IBJ131111:IBJ131120 ILF131111:ILF131120 IVB131111:IVB131120 JEX131111:JEX131120 JOT131111:JOT131120 JYP131111:JYP131120 KIL131111:KIL131120 KSH131111:KSH131120 LCD131111:LCD131120 LLZ131111:LLZ131120 LVV131111:LVV131120 MFR131111:MFR131120 MPN131111:MPN131120 MZJ131111:MZJ131120 NJF131111:NJF131120 NTB131111:NTB131120 OCX131111:OCX131120 OMT131111:OMT131120 OWP131111:OWP131120 PGL131111:PGL131120 PQH131111:PQH131120 QAD131111:QAD131120 QJZ131111:QJZ131120 QTV131111:QTV131120 RDR131111:RDR131120 RNN131111:RNN131120 RXJ131111:RXJ131120 SHF131111:SHF131120 SRB131111:SRB131120 TAX131111:TAX131120 TKT131111:TKT131120 TUP131111:TUP131120 UEL131111:UEL131120 UOH131111:UOH131120 UYD131111:UYD131120 VHZ131111:VHZ131120 VRV131111:VRV131120 WBR131111:WBR131120 WLN131111:WLN131120 WVJ131111:WVJ131120 B196647:B196656 IX196647:IX196656 ST196647:ST196656 ACP196647:ACP196656 AML196647:AML196656 AWH196647:AWH196656 BGD196647:BGD196656 BPZ196647:BPZ196656 BZV196647:BZV196656 CJR196647:CJR196656 CTN196647:CTN196656 DDJ196647:DDJ196656 DNF196647:DNF196656 DXB196647:DXB196656 EGX196647:EGX196656 EQT196647:EQT196656 FAP196647:FAP196656 FKL196647:FKL196656 FUH196647:FUH196656 GED196647:GED196656 GNZ196647:GNZ196656 GXV196647:GXV196656 HHR196647:HHR196656 HRN196647:HRN196656 IBJ196647:IBJ196656 ILF196647:ILF196656 IVB196647:IVB196656 JEX196647:JEX196656 JOT196647:JOT196656 JYP196647:JYP196656 KIL196647:KIL196656 KSH196647:KSH196656 LCD196647:LCD196656 LLZ196647:LLZ196656 LVV196647:LVV196656 MFR196647:MFR196656 MPN196647:MPN196656 MZJ196647:MZJ196656 NJF196647:NJF196656 NTB196647:NTB196656 OCX196647:OCX196656 OMT196647:OMT196656 OWP196647:OWP196656 PGL196647:PGL196656 PQH196647:PQH196656 QAD196647:QAD196656 QJZ196647:QJZ196656 QTV196647:QTV196656 RDR196647:RDR196656 RNN196647:RNN196656 RXJ196647:RXJ196656 SHF196647:SHF196656 SRB196647:SRB196656 TAX196647:TAX196656 TKT196647:TKT196656 TUP196647:TUP196656 UEL196647:UEL196656 UOH196647:UOH196656 UYD196647:UYD196656 VHZ196647:VHZ196656 VRV196647:VRV196656 WBR196647:WBR196656 WLN196647:WLN196656 WVJ196647:WVJ196656 B262183:B262192 IX262183:IX262192 ST262183:ST262192 ACP262183:ACP262192 AML262183:AML262192 AWH262183:AWH262192 BGD262183:BGD262192 BPZ262183:BPZ262192 BZV262183:BZV262192 CJR262183:CJR262192 CTN262183:CTN262192 DDJ262183:DDJ262192 DNF262183:DNF262192 DXB262183:DXB262192 EGX262183:EGX262192 EQT262183:EQT262192 FAP262183:FAP262192 FKL262183:FKL262192 FUH262183:FUH262192 GED262183:GED262192 GNZ262183:GNZ262192 GXV262183:GXV262192 HHR262183:HHR262192 HRN262183:HRN262192 IBJ262183:IBJ262192 ILF262183:ILF262192 IVB262183:IVB262192 JEX262183:JEX262192 JOT262183:JOT262192 JYP262183:JYP262192 KIL262183:KIL262192 KSH262183:KSH262192 LCD262183:LCD262192 LLZ262183:LLZ262192 LVV262183:LVV262192 MFR262183:MFR262192 MPN262183:MPN262192 MZJ262183:MZJ262192 NJF262183:NJF262192 NTB262183:NTB262192 OCX262183:OCX262192 OMT262183:OMT262192 OWP262183:OWP262192 PGL262183:PGL262192 PQH262183:PQH262192 QAD262183:QAD262192 QJZ262183:QJZ262192 QTV262183:QTV262192 RDR262183:RDR262192 RNN262183:RNN262192 RXJ262183:RXJ262192 SHF262183:SHF262192 SRB262183:SRB262192 TAX262183:TAX262192 TKT262183:TKT262192 TUP262183:TUP262192 UEL262183:UEL262192 UOH262183:UOH262192 UYD262183:UYD262192 VHZ262183:VHZ262192 VRV262183:VRV262192 WBR262183:WBR262192 WLN262183:WLN262192 WVJ262183:WVJ262192 B327719:B327728 IX327719:IX327728 ST327719:ST327728 ACP327719:ACP327728 AML327719:AML327728 AWH327719:AWH327728 BGD327719:BGD327728 BPZ327719:BPZ327728 BZV327719:BZV327728 CJR327719:CJR327728 CTN327719:CTN327728 DDJ327719:DDJ327728 DNF327719:DNF327728 DXB327719:DXB327728 EGX327719:EGX327728 EQT327719:EQT327728 FAP327719:FAP327728 FKL327719:FKL327728 FUH327719:FUH327728 GED327719:GED327728 GNZ327719:GNZ327728 GXV327719:GXV327728 HHR327719:HHR327728 HRN327719:HRN327728 IBJ327719:IBJ327728 ILF327719:ILF327728 IVB327719:IVB327728 JEX327719:JEX327728 JOT327719:JOT327728 JYP327719:JYP327728 KIL327719:KIL327728 KSH327719:KSH327728 LCD327719:LCD327728 LLZ327719:LLZ327728 LVV327719:LVV327728 MFR327719:MFR327728 MPN327719:MPN327728 MZJ327719:MZJ327728 NJF327719:NJF327728 NTB327719:NTB327728 OCX327719:OCX327728 OMT327719:OMT327728 OWP327719:OWP327728 PGL327719:PGL327728 PQH327719:PQH327728 QAD327719:QAD327728 QJZ327719:QJZ327728 QTV327719:QTV327728 RDR327719:RDR327728 RNN327719:RNN327728 RXJ327719:RXJ327728 SHF327719:SHF327728 SRB327719:SRB327728 TAX327719:TAX327728 TKT327719:TKT327728 TUP327719:TUP327728 UEL327719:UEL327728 UOH327719:UOH327728 UYD327719:UYD327728 VHZ327719:VHZ327728 VRV327719:VRV327728 WBR327719:WBR327728 WLN327719:WLN327728 WVJ327719:WVJ327728 B393255:B393264 IX393255:IX393264 ST393255:ST393264 ACP393255:ACP393264 AML393255:AML393264 AWH393255:AWH393264 BGD393255:BGD393264 BPZ393255:BPZ393264 BZV393255:BZV393264 CJR393255:CJR393264 CTN393255:CTN393264 DDJ393255:DDJ393264 DNF393255:DNF393264 DXB393255:DXB393264 EGX393255:EGX393264 EQT393255:EQT393264 FAP393255:FAP393264 FKL393255:FKL393264 FUH393255:FUH393264 GED393255:GED393264 GNZ393255:GNZ393264 GXV393255:GXV393264 HHR393255:HHR393264 HRN393255:HRN393264 IBJ393255:IBJ393264 ILF393255:ILF393264 IVB393255:IVB393264 JEX393255:JEX393264 JOT393255:JOT393264 JYP393255:JYP393264 KIL393255:KIL393264 KSH393255:KSH393264 LCD393255:LCD393264 LLZ393255:LLZ393264 LVV393255:LVV393264 MFR393255:MFR393264 MPN393255:MPN393264 MZJ393255:MZJ393264 NJF393255:NJF393264 NTB393255:NTB393264 OCX393255:OCX393264 OMT393255:OMT393264 OWP393255:OWP393264 PGL393255:PGL393264 PQH393255:PQH393264 QAD393255:QAD393264 QJZ393255:QJZ393264 QTV393255:QTV393264 RDR393255:RDR393264 RNN393255:RNN393264 RXJ393255:RXJ393264 SHF393255:SHF393264 SRB393255:SRB393264 TAX393255:TAX393264 TKT393255:TKT393264 TUP393255:TUP393264 UEL393255:UEL393264 UOH393255:UOH393264 UYD393255:UYD393264 VHZ393255:VHZ393264 VRV393255:VRV393264 WBR393255:WBR393264 WLN393255:WLN393264 WVJ393255:WVJ393264 B458791:B458800 IX458791:IX458800 ST458791:ST458800 ACP458791:ACP458800 AML458791:AML458800 AWH458791:AWH458800 BGD458791:BGD458800 BPZ458791:BPZ458800 BZV458791:BZV458800 CJR458791:CJR458800 CTN458791:CTN458800 DDJ458791:DDJ458800 DNF458791:DNF458800 DXB458791:DXB458800 EGX458791:EGX458800 EQT458791:EQT458800 FAP458791:FAP458800 FKL458791:FKL458800 FUH458791:FUH458800 GED458791:GED458800 GNZ458791:GNZ458800 GXV458791:GXV458800 HHR458791:HHR458800 HRN458791:HRN458800 IBJ458791:IBJ458800 ILF458791:ILF458800 IVB458791:IVB458800 JEX458791:JEX458800 JOT458791:JOT458800 JYP458791:JYP458800 KIL458791:KIL458800 KSH458791:KSH458800 LCD458791:LCD458800 LLZ458791:LLZ458800 LVV458791:LVV458800 MFR458791:MFR458800 MPN458791:MPN458800 MZJ458791:MZJ458800 NJF458791:NJF458800 NTB458791:NTB458800 OCX458791:OCX458800 OMT458791:OMT458800 OWP458791:OWP458800 PGL458791:PGL458800 PQH458791:PQH458800 QAD458791:QAD458800 QJZ458791:QJZ458800 QTV458791:QTV458800 RDR458791:RDR458800 RNN458791:RNN458800 RXJ458791:RXJ458800 SHF458791:SHF458800 SRB458791:SRB458800 TAX458791:TAX458800 TKT458791:TKT458800 TUP458791:TUP458800 UEL458791:UEL458800 UOH458791:UOH458800 UYD458791:UYD458800 VHZ458791:VHZ458800 VRV458791:VRV458800 WBR458791:WBR458800 WLN458791:WLN458800 WVJ458791:WVJ458800 B524327:B524336 IX524327:IX524336 ST524327:ST524336 ACP524327:ACP524336 AML524327:AML524336 AWH524327:AWH524336 BGD524327:BGD524336 BPZ524327:BPZ524336 BZV524327:BZV524336 CJR524327:CJR524336 CTN524327:CTN524336 DDJ524327:DDJ524336 DNF524327:DNF524336 DXB524327:DXB524336 EGX524327:EGX524336 EQT524327:EQT524336 FAP524327:FAP524336 FKL524327:FKL524336 FUH524327:FUH524336 GED524327:GED524336 GNZ524327:GNZ524336 GXV524327:GXV524336 HHR524327:HHR524336 HRN524327:HRN524336 IBJ524327:IBJ524336 ILF524327:ILF524336 IVB524327:IVB524336 JEX524327:JEX524336 JOT524327:JOT524336 JYP524327:JYP524336 KIL524327:KIL524336 KSH524327:KSH524336 LCD524327:LCD524336 LLZ524327:LLZ524336 LVV524327:LVV524336 MFR524327:MFR524336 MPN524327:MPN524336 MZJ524327:MZJ524336 NJF524327:NJF524336 NTB524327:NTB524336 OCX524327:OCX524336 OMT524327:OMT524336 OWP524327:OWP524336 PGL524327:PGL524336 PQH524327:PQH524336 QAD524327:QAD524336 QJZ524327:QJZ524336 QTV524327:QTV524336 RDR524327:RDR524336 RNN524327:RNN524336 RXJ524327:RXJ524336 SHF524327:SHF524336 SRB524327:SRB524336 TAX524327:TAX524336 TKT524327:TKT524336 TUP524327:TUP524336 UEL524327:UEL524336 UOH524327:UOH524336 UYD524327:UYD524336 VHZ524327:VHZ524336 VRV524327:VRV524336 WBR524327:WBR524336 WLN524327:WLN524336 WVJ524327:WVJ524336 B589863:B589872 IX589863:IX589872 ST589863:ST589872 ACP589863:ACP589872 AML589863:AML589872 AWH589863:AWH589872 BGD589863:BGD589872 BPZ589863:BPZ589872 BZV589863:BZV589872 CJR589863:CJR589872 CTN589863:CTN589872 DDJ589863:DDJ589872 DNF589863:DNF589872 DXB589863:DXB589872 EGX589863:EGX589872 EQT589863:EQT589872 FAP589863:FAP589872 FKL589863:FKL589872 FUH589863:FUH589872 GED589863:GED589872 GNZ589863:GNZ589872 GXV589863:GXV589872 HHR589863:HHR589872 HRN589863:HRN589872 IBJ589863:IBJ589872 ILF589863:ILF589872 IVB589863:IVB589872 JEX589863:JEX589872 JOT589863:JOT589872 JYP589863:JYP589872 KIL589863:KIL589872 KSH589863:KSH589872 LCD589863:LCD589872 LLZ589863:LLZ589872 LVV589863:LVV589872 MFR589863:MFR589872 MPN589863:MPN589872 MZJ589863:MZJ589872 NJF589863:NJF589872 NTB589863:NTB589872 OCX589863:OCX589872 OMT589863:OMT589872 OWP589863:OWP589872 PGL589863:PGL589872 PQH589863:PQH589872 QAD589863:QAD589872 QJZ589863:QJZ589872 QTV589863:QTV589872 RDR589863:RDR589872 RNN589863:RNN589872 RXJ589863:RXJ589872 SHF589863:SHF589872 SRB589863:SRB589872 TAX589863:TAX589872 TKT589863:TKT589872 TUP589863:TUP589872 UEL589863:UEL589872 UOH589863:UOH589872 UYD589863:UYD589872 VHZ589863:VHZ589872 VRV589863:VRV589872 WBR589863:WBR589872 WLN589863:WLN589872 WVJ589863:WVJ589872 B655399:B655408 IX655399:IX655408 ST655399:ST655408 ACP655399:ACP655408 AML655399:AML655408 AWH655399:AWH655408 BGD655399:BGD655408 BPZ655399:BPZ655408 BZV655399:BZV655408 CJR655399:CJR655408 CTN655399:CTN655408 DDJ655399:DDJ655408 DNF655399:DNF655408 DXB655399:DXB655408 EGX655399:EGX655408 EQT655399:EQT655408 FAP655399:FAP655408 FKL655399:FKL655408 FUH655399:FUH655408 GED655399:GED655408 GNZ655399:GNZ655408 GXV655399:GXV655408 HHR655399:HHR655408 HRN655399:HRN655408 IBJ655399:IBJ655408 ILF655399:ILF655408 IVB655399:IVB655408 JEX655399:JEX655408 JOT655399:JOT655408 JYP655399:JYP655408 KIL655399:KIL655408 KSH655399:KSH655408 LCD655399:LCD655408 LLZ655399:LLZ655408 LVV655399:LVV655408 MFR655399:MFR655408 MPN655399:MPN655408 MZJ655399:MZJ655408 NJF655399:NJF655408 NTB655399:NTB655408 OCX655399:OCX655408 OMT655399:OMT655408 OWP655399:OWP655408 PGL655399:PGL655408 PQH655399:PQH655408 QAD655399:QAD655408 QJZ655399:QJZ655408 QTV655399:QTV655408 RDR655399:RDR655408 RNN655399:RNN655408 RXJ655399:RXJ655408 SHF655399:SHF655408 SRB655399:SRB655408 TAX655399:TAX655408 TKT655399:TKT655408 TUP655399:TUP655408 UEL655399:UEL655408 UOH655399:UOH655408 UYD655399:UYD655408 VHZ655399:VHZ655408 VRV655399:VRV655408 WBR655399:WBR655408 WLN655399:WLN655408 WVJ655399:WVJ655408 B720935:B720944 IX720935:IX720944 ST720935:ST720944 ACP720935:ACP720944 AML720935:AML720944 AWH720935:AWH720944 BGD720935:BGD720944 BPZ720935:BPZ720944 BZV720935:BZV720944 CJR720935:CJR720944 CTN720935:CTN720944 DDJ720935:DDJ720944 DNF720935:DNF720944 DXB720935:DXB720944 EGX720935:EGX720944 EQT720935:EQT720944 FAP720935:FAP720944 FKL720935:FKL720944 FUH720935:FUH720944 GED720935:GED720944 GNZ720935:GNZ720944 GXV720935:GXV720944 HHR720935:HHR720944 HRN720935:HRN720944 IBJ720935:IBJ720944 ILF720935:ILF720944 IVB720935:IVB720944 JEX720935:JEX720944 JOT720935:JOT720944 JYP720935:JYP720944 KIL720935:KIL720944 KSH720935:KSH720944 LCD720935:LCD720944 LLZ720935:LLZ720944 LVV720935:LVV720944 MFR720935:MFR720944 MPN720935:MPN720944 MZJ720935:MZJ720944 NJF720935:NJF720944 NTB720935:NTB720944 OCX720935:OCX720944 OMT720935:OMT720944 OWP720935:OWP720944 PGL720935:PGL720944 PQH720935:PQH720944 QAD720935:QAD720944 QJZ720935:QJZ720944 QTV720935:QTV720944 RDR720935:RDR720944 RNN720935:RNN720944 RXJ720935:RXJ720944 SHF720935:SHF720944 SRB720935:SRB720944 TAX720935:TAX720944 TKT720935:TKT720944 TUP720935:TUP720944 UEL720935:UEL720944 UOH720935:UOH720944 UYD720935:UYD720944 VHZ720935:VHZ720944 VRV720935:VRV720944 WBR720935:WBR720944 WLN720935:WLN720944 WVJ720935:WVJ720944 B786471:B786480 IX786471:IX786480 ST786471:ST786480 ACP786471:ACP786480 AML786471:AML786480 AWH786471:AWH786480 BGD786471:BGD786480 BPZ786471:BPZ786480 BZV786471:BZV786480 CJR786471:CJR786480 CTN786471:CTN786480 DDJ786471:DDJ786480 DNF786471:DNF786480 DXB786471:DXB786480 EGX786471:EGX786480 EQT786471:EQT786480 FAP786471:FAP786480 FKL786471:FKL786480 FUH786471:FUH786480 GED786471:GED786480 GNZ786471:GNZ786480 GXV786471:GXV786480 HHR786471:HHR786480 HRN786471:HRN786480 IBJ786471:IBJ786480 ILF786471:ILF786480 IVB786471:IVB786480 JEX786471:JEX786480 JOT786471:JOT786480 JYP786471:JYP786480 KIL786471:KIL786480 KSH786471:KSH786480 LCD786471:LCD786480 LLZ786471:LLZ786480 LVV786471:LVV786480 MFR786471:MFR786480 MPN786471:MPN786480 MZJ786471:MZJ786480 NJF786471:NJF786480 NTB786471:NTB786480 OCX786471:OCX786480 OMT786471:OMT786480 OWP786471:OWP786480 PGL786471:PGL786480 PQH786471:PQH786480 QAD786471:QAD786480 QJZ786471:QJZ786480 QTV786471:QTV786480 RDR786471:RDR786480 RNN786471:RNN786480 RXJ786471:RXJ786480 SHF786471:SHF786480 SRB786471:SRB786480 TAX786471:TAX786480 TKT786471:TKT786480 TUP786471:TUP786480 UEL786471:UEL786480 UOH786471:UOH786480 UYD786471:UYD786480 VHZ786471:VHZ786480 VRV786471:VRV786480 WBR786471:WBR786480 WLN786471:WLN786480 WVJ786471:WVJ786480 B852007:B852016 IX852007:IX852016 ST852007:ST852016 ACP852007:ACP852016 AML852007:AML852016 AWH852007:AWH852016 BGD852007:BGD852016 BPZ852007:BPZ852016 BZV852007:BZV852016 CJR852007:CJR852016 CTN852007:CTN852016 DDJ852007:DDJ852016 DNF852007:DNF852016 DXB852007:DXB852016 EGX852007:EGX852016 EQT852007:EQT852016 FAP852007:FAP852016 FKL852007:FKL852016 FUH852007:FUH852016 GED852007:GED852016 GNZ852007:GNZ852016 GXV852007:GXV852016 HHR852007:HHR852016 HRN852007:HRN852016 IBJ852007:IBJ852016 ILF852007:ILF852016 IVB852007:IVB852016 JEX852007:JEX852016 JOT852007:JOT852016 JYP852007:JYP852016 KIL852007:KIL852016 KSH852007:KSH852016 LCD852007:LCD852016 LLZ852007:LLZ852016 LVV852007:LVV852016 MFR852007:MFR852016 MPN852007:MPN852016 MZJ852007:MZJ852016 NJF852007:NJF852016 NTB852007:NTB852016 OCX852007:OCX852016 OMT852007:OMT852016 OWP852007:OWP852016 PGL852007:PGL852016 PQH852007:PQH852016 QAD852007:QAD852016 QJZ852007:QJZ852016 QTV852007:QTV852016 RDR852007:RDR852016 RNN852007:RNN852016 RXJ852007:RXJ852016 SHF852007:SHF852016 SRB852007:SRB852016 TAX852007:TAX852016 TKT852007:TKT852016 TUP852007:TUP852016 UEL852007:UEL852016 UOH852007:UOH852016 UYD852007:UYD852016 VHZ852007:VHZ852016 VRV852007:VRV852016 WBR852007:WBR852016 WLN852007:WLN852016 WVJ852007:WVJ852016 B917543:B917552 IX917543:IX917552 ST917543:ST917552 ACP917543:ACP917552 AML917543:AML917552 AWH917543:AWH917552 BGD917543:BGD917552 BPZ917543:BPZ917552 BZV917543:BZV917552 CJR917543:CJR917552 CTN917543:CTN917552 DDJ917543:DDJ917552 DNF917543:DNF917552 DXB917543:DXB917552 EGX917543:EGX917552 EQT917543:EQT917552 FAP917543:FAP917552 FKL917543:FKL917552 FUH917543:FUH917552 GED917543:GED917552 GNZ917543:GNZ917552 GXV917543:GXV917552 HHR917543:HHR917552 HRN917543:HRN917552 IBJ917543:IBJ917552 ILF917543:ILF917552 IVB917543:IVB917552 JEX917543:JEX917552 JOT917543:JOT917552 JYP917543:JYP917552 KIL917543:KIL917552 KSH917543:KSH917552 LCD917543:LCD917552 LLZ917543:LLZ917552 LVV917543:LVV917552 MFR917543:MFR917552 MPN917543:MPN917552 MZJ917543:MZJ917552 NJF917543:NJF917552 NTB917543:NTB917552 OCX917543:OCX917552 OMT917543:OMT917552 OWP917543:OWP917552 PGL917543:PGL917552 PQH917543:PQH917552 QAD917543:QAD917552 QJZ917543:QJZ917552 QTV917543:QTV917552 RDR917543:RDR917552 RNN917543:RNN917552 RXJ917543:RXJ917552 SHF917543:SHF917552 SRB917543:SRB917552 TAX917543:TAX917552 TKT917543:TKT917552 TUP917543:TUP917552 UEL917543:UEL917552 UOH917543:UOH917552 UYD917543:UYD917552 VHZ917543:VHZ917552 VRV917543:VRV917552 WBR917543:WBR917552 WLN917543:WLN917552 WVJ917543:WVJ917552 B983079:B983088 IX983079:IX983088 ST983079:ST983088 ACP983079:ACP983088 AML983079:AML983088 AWH983079:AWH983088 BGD983079:BGD983088 BPZ983079:BPZ983088 BZV983079:BZV983088 CJR983079:CJR983088 CTN983079:CTN983088 DDJ983079:DDJ983088 DNF983079:DNF983088 DXB983079:DXB983088 EGX983079:EGX983088 EQT983079:EQT983088 FAP983079:FAP983088 FKL983079:FKL983088 FUH983079:FUH983088 GED983079:GED983088 GNZ983079:GNZ983088 GXV983079:GXV983088 HHR983079:HHR983088 HRN983079:HRN983088 IBJ983079:IBJ983088 ILF983079:ILF983088 IVB983079:IVB983088 JEX983079:JEX983088 JOT983079:JOT983088 JYP983079:JYP983088 KIL983079:KIL983088 KSH983079:KSH983088 LCD983079:LCD983088 LLZ983079:LLZ983088 LVV983079:LVV983088 MFR983079:MFR983088 MPN983079:MPN983088 MZJ983079:MZJ983088 NJF983079:NJF983088 NTB983079:NTB983088 OCX983079:OCX983088 OMT983079:OMT983088 OWP983079:OWP983088 PGL983079:PGL983088 PQH983079:PQH983088 QAD983079:QAD983088 QJZ983079:QJZ983088 QTV983079:QTV983088 RDR983079:RDR983088 RNN983079:RNN983088 RXJ983079:RXJ983088 SHF983079:SHF983088 SRB983079:SRB983088 TAX983079:TAX983088 TKT983079:TKT983088 TUP983079:TUP983088 UEL983079:UEL983088 UOH983079:UOH983088 UYD983079:UYD983088 VHZ983079:VHZ983088 VRV983079:VRV983088 WBR983079:WBR983088 WLN983079:WLN983088 WVJ983079:WVJ983088" xr:uid="{00000000-0002-0000-0000-00000C000000}">
      <formula1>0</formula1>
      <formula2>999999999999999000000</formula2>
    </dataValidation>
    <dataValidation type="whole" allowBlank="1" showInputMessage="1" showErrorMessage="1" sqref="B39:B40 IX39:IX40 ST39:ST40 ACP39:ACP40 AML39:AML40 AWH39:AWH40 BGD39:BGD40 BPZ39:BPZ40 BZV39:BZV40 CJR39:CJR40 CTN39:CTN40 DDJ39:DDJ40 DNF39:DNF40 DXB39:DXB40 EGX39:EGX40 EQT39:EQT40 FAP39:FAP40 FKL39:FKL40 FUH39:FUH40 GED39:GED40 GNZ39:GNZ40 GXV39:GXV40 HHR39:HHR40 HRN39:HRN40 IBJ39:IBJ40 ILF39:ILF40 IVB39:IVB40 JEX39:JEX40 JOT39:JOT40 JYP39:JYP40 KIL39:KIL40 KSH39:KSH40 LCD39:LCD40 LLZ39:LLZ40 LVV39:LVV40 MFR39:MFR40 MPN39:MPN40 MZJ39:MZJ40 NJF39:NJF40 NTB39:NTB40 OCX39:OCX40 OMT39:OMT40 OWP39:OWP40 PGL39:PGL40 PQH39:PQH40 QAD39:QAD40 QJZ39:QJZ40 QTV39:QTV40 RDR39:RDR40 RNN39:RNN40 RXJ39:RXJ40 SHF39:SHF40 SRB39:SRB40 TAX39:TAX40 TKT39:TKT40 TUP39:TUP40 UEL39:UEL40 UOH39:UOH40 UYD39:UYD40 VHZ39:VHZ40 VRV39:VRV40 WBR39:WBR40 WLN39:WLN40 WVJ39:WVJ40 B65572:B65573 IX65572:IX65573 ST65572:ST65573 ACP65572:ACP65573 AML65572:AML65573 AWH65572:AWH65573 BGD65572:BGD65573 BPZ65572:BPZ65573 BZV65572:BZV65573 CJR65572:CJR65573 CTN65572:CTN65573 DDJ65572:DDJ65573 DNF65572:DNF65573 DXB65572:DXB65573 EGX65572:EGX65573 EQT65572:EQT65573 FAP65572:FAP65573 FKL65572:FKL65573 FUH65572:FUH65573 GED65572:GED65573 GNZ65572:GNZ65573 GXV65572:GXV65573 HHR65572:HHR65573 HRN65572:HRN65573 IBJ65572:IBJ65573 ILF65572:ILF65573 IVB65572:IVB65573 JEX65572:JEX65573 JOT65572:JOT65573 JYP65572:JYP65573 KIL65572:KIL65573 KSH65572:KSH65573 LCD65572:LCD65573 LLZ65572:LLZ65573 LVV65572:LVV65573 MFR65572:MFR65573 MPN65572:MPN65573 MZJ65572:MZJ65573 NJF65572:NJF65573 NTB65572:NTB65573 OCX65572:OCX65573 OMT65572:OMT65573 OWP65572:OWP65573 PGL65572:PGL65573 PQH65572:PQH65573 QAD65572:QAD65573 QJZ65572:QJZ65573 QTV65572:QTV65573 RDR65572:RDR65573 RNN65572:RNN65573 RXJ65572:RXJ65573 SHF65572:SHF65573 SRB65572:SRB65573 TAX65572:TAX65573 TKT65572:TKT65573 TUP65572:TUP65573 UEL65572:UEL65573 UOH65572:UOH65573 UYD65572:UYD65573 VHZ65572:VHZ65573 VRV65572:VRV65573 WBR65572:WBR65573 WLN65572:WLN65573 WVJ65572:WVJ65573 B131108:B131109 IX131108:IX131109 ST131108:ST131109 ACP131108:ACP131109 AML131108:AML131109 AWH131108:AWH131109 BGD131108:BGD131109 BPZ131108:BPZ131109 BZV131108:BZV131109 CJR131108:CJR131109 CTN131108:CTN131109 DDJ131108:DDJ131109 DNF131108:DNF131109 DXB131108:DXB131109 EGX131108:EGX131109 EQT131108:EQT131109 FAP131108:FAP131109 FKL131108:FKL131109 FUH131108:FUH131109 GED131108:GED131109 GNZ131108:GNZ131109 GXV131108:GXV131109 HHR131108:HHR131109 HRN131108:HRN131109 IBJ131108:IBJ131109 ILF131108:ILF131109 IVB131108:IVB131109 JEX131108:JEX131109 JOT131108:JOT131109 JYP131108:JYP131109 KIL131108:KIL131109 KSH131108:KSH131109 LCD131108:LCD131109 LLZ131108:LLZ131109 LVV131108:LVV131109 MFR131108:MFR131109 MPN131108:MPN131109 MZJ131108:MZJ131109 NJF131108:NJF131109 NTB131108:NTB131109 OCX131108:OCX131109 OMT131108:OMT131109 OWP131108:OWP131109 PGL131108:PGL131109 PQH131108:PQH131109 QAD131108:QAD131109 QJZ131108:QJZ131109 QTV131108:QTV131109 RDR131108:RDR131109 RNN131108:RNN131109 RXJ131108:RXJ131109 SHF131108:SHF131109 SRB131108:SRB131109 TAX131108:TAX131109 TKT131108:TKT131109 TUP131108:TUP131109 UEL131108:UEL131109 UOH131108:UOH131109 UYD131108:UYD131109 VHZ131108:VHZ131109 VRV131108:VRV131109 WBR131108:WBR131109 WLN131108:WLN131109 WVJ131108:WVJ131109 B196644:B196645 IX196644:IX196645 ST196644:ST196645 ACP196644:ACP196645 AML196644:AML196645 AWH196644:AWH196645 BGD196644:BGD196645 BPZ196644:BPZ196645 BZV196644:BZV196645 CJR196644:CJR196645 CTN196644:CTN196645 DDJ196644:DDJ196645 DNF196644:DNF196645 DXB196644:DXB196645 EGX196644:EGX196645 EQT196644:EQT196645 FAP196644:FAP196645 FKL196644:FKL196645 FUH196644:FUH196645 GED196644:GED196645 GNZ196644:GNZ196645 GXV196644:GXV196645 HHR196644:HHR196645 HRN196644:HRN196645 IBJ196644:IBJ196645 ILF196644:ILF196645 IVB196644:IVB196645 JEX196644:JEX196645 JOT196644:JOT196645 JYP196644:JYP196645 KIL196644:KIL196645 KSH196644:KSH196645 LCD196644:LCD196645 LLZ196644:LLZ196645 LVV196644:LVV196645 MFR196644:MFR196645 MPN196644:MPN196645 MZJ196644:MZJ196645 NJF196644:NJF196645 NTB196644:NTB196645 OCX196644:OCX196645 OMT196644:OMT196645 OWP196644:OWP196645 PGL196644:PGL196645 PQH196644:PQH196645 QAD196644:QAD196645 QJZ196644:QJZ196645 QTV196644:QTV196645 RDR196644:RDR196645 RNN196644:RNN196645 RXJ196644:RXJ196645 SHF196644:SHF196645 SRB196644:SRB196645 TAX196644:TAX196645 TKT196644:TKT196645 TUP196644:TUP196645 UEL196644:UEL196645 UOH196644:UOH196645 UYD196644:UYD196645 VHZ196644:VHZ196645 VRV196644:VRV196645 WBR196644:WBR196645 WLN196644:WLN196645 WVJ196644:WVJ196645 B262180:B262181 IX262180:IX262181 ST262180:ST262181 ACP262180:ACP262181 AML262180:AML262181 AWH262180:AWH262181 BGD262180:BGD262181 BPZ262180:BPZ262181 BZV262180:BZV262181 CJR262180:CJR262181 CTN262180:CTN262181 DDJ262180:DDJ262181 DNF262180:DNF262181 DXB262180:DXB262181 EGX262180:EGX262181 EQT262180:EQT262181 FAP262180:FAP262181 FKL262180:FKL262181 FUH262180:FUH262181 GED262180:GED262181 GNZ262180:GNZ262181 GXV262180:GXV262181 HHR262180:HHR262181 HRN262180:HRN262181 IBJ262180:IBJ262181 ILF262180:ILF262181 IVB262180:IVB262181 JEX262180:JEX262181 JOT262180:JOT262181 JYP262180:JYP262181 KIL262180:KIL262181 KSH262180:KSH262181 LCD262180:LCD262181 LLZ262180:LLZ262181 LVV262180:LVV262181 MFR262180:MFR262181 MPN262180:MPN262181 MZJ262180:MZJ262181 NJF262180:NJF262181 NTB262180:NTB262181 OCX262180:OCX262181 OMT262180:OMT262181 OWP262180:OWP262181 PGL262180:PGL262181 PQH262180:PQH262181 QAD262180:QAD262181 QJZ262180:QJZ262181 QTV262180:QTV262181 RDR262180:RDR262181 RNN262180:RNN262181 RXJ262180:RXJ262181 SHF262180:SHF262181 SRB262180:SRB262181 TAX262180:TAX262181 TKT262180:TKT262181 TUP262180:TUP262181 UEL262180:UEL262181 UOH262180:UOH262181 UYD262180:UYD262181 VHZ262180:VHZ262181 VRV262180:VRV262181 WBR262180:WBR262181 WLN262180:WLN262181 WVJ262180:WVJ262181 B327716:B327717 IX327716:IX327717 ST327716:ST327717 ACP327716:ACP327717 AML327716:AML327717 AWH327716:AWH327717 BGD327716:BGD327717 BPZ327716:BPZ327717 BZV327716:BZV327717 CJR327716:CJR327717 CTN327716:CTN327717 DDJ327716:DDJ327717 DNF327716:DNF327717 DXB327716:DXB327717 EGX327716:EGX327717 EQT327716:EQT327717 FAP327716:FAP327717 FKL327716:FKL327717 FUH327716:FUH327717 GED327716:GED327717 GNZ327716:GNZ327717 GXV327716:GXV327717 HHR327716:HHR327717 HRN327716:HRN327717 IBJ327716:IBJ327717 ILF327716:ILF327717 IVB327716:IVB327717 JEX327716:JEX327717 JOT327716:JOT327717 JYP327716:JYP327717 KIL327716:KIL327717 KSH327716:KSH327717 LCD327716:LCD327717 LLZ327716:LLZ327717 LVV327716:LVV327717 MFR327716:MFR327717 MPN327716:MPN327717 MZJ327716:MZJ327717 NJF327716:NJF327717 NTB327716:NTB327717 OCX327716:OCX327717 OMT327716:OMT327717 OWP327716:OWP327717 PGL327716:PGL327717 PQH327716:PQH327717 QAD327716:QAD327717 QJZ327716:QJZ327717 QTV327716:QTV327717 RDR327716:RDR327717 RNN327716:RNN327717 RXJ327716:RXJ327717 SHF327716:SHF327717 SRB327716:SRB327717 TAX327716:TAX327717 TKT327716:TKT327717 TUP327716:TUP327717 UEL327716:UEL327717 UOH327716:UOH327717 UYD327716:UYD327717 VHZ327716:VHZ327717 VRV327716:VRV327717 WBR327716:WBR327717 WLN327716:WLN327717 WVJ327716:WVJ327717 B393252:B393253 IX393252:IX393253 ST393252:ST393253 ACP393252:ACP393253 AML393252:AML393253 AWH393252:AWH393253 BGD393252:BGD393253 BPZ393252:BPZ393253 BZV393252:BZV393253 CJR393252:CJR393253 CTN393252:CTN393253 DDJ393252:DDJ393253 DNF393252:DNF393253 DXB393252:DXB393253 EGX393252:EGX393253 EQT393252:EQT393253 FAP393252:FAP393253 FKL393252:FKL393253 FUH393252:FUH393253 GED393252:GED393253 GNZ393252:GNZ393253 GXV393252:GXV393253 HHR393252:HHR393253 HRN393252:HRN393253 IBJ393252:IBJ393253 ILF393252:ILF393253 IVB393252:IVB393253 JEX393252:JEX393253 JOT393252:JOT393253 JYP393252:JYP393253 KIL393252:KIL393253 KSH393252:KSH393253 LCD393252:LCD393253 LLZ393252:LLZ393253 LVV393252:LVV393253 MFR393252:MFR393253 MPN393252:MPN393253 MZJ393252:MZJ393253 NJF393252:NJF393253 NTB393252:NTB393253 OCX393252:OCX393253 OMT393252:OMT393253 OWP393252:OWP393253 PGL393252:PGL393253 PQH393252:PQH393253 QAD393252:QAD393253 QJZ393252:QJZ393253 QTV393252:QTV393253 RDR393252:RDR393253 RNN393252:RNN393253 RXJ393252:RXJ393253 SHF393252:SHF393253 SRB393252:SRB393253 TAX393252:TAX393253 TKT393252:TKT393253 TUP393252:TUP393253 UEL393252:UEL393253 UOH393252:UOH393253 UYD393252:UYD393253 VHZ393252:VHZ393253 VRV393252:VRV393253 WBR393252:WBR393253 WLN393252:WLN393253 WVJ393252:WVJ393253 B458788:B458789 IX458788:IX458789 ST458788:ST458789 ACP458788:ACP458789 AML458788:AML458789 AWH458788:AWH458789 BGD458788:BGD458789 BPZ458788:BPZ458789 BZV458788:BZV458789 CJR458788:CJR458789 CTN458788:CTN458789 DDJ458788:DDJ458789 DNF458788:DNF458789 DXB458788:DXB458789 EGX458788:EGX458789 EQT458788:EQT458789 FAP458788:FAP458789 FKL458788:FKL458789 FUH458788:FUH458789 GED458788:GED458789 GNZ458788:GNZ458789 GXV458788:GXV458789 HHR458788:HHR458789 HRN458788:HRN458789 IBJ458788:IBJ458789 ILF458788:ILF458789 IVB458788:IVB458789 JEX458788:JEX458789 JOT458788:JOT458789 JYP458788:JYP458789 KIL458788:KIL458789 KSH458788:KSH458789 LCD458788:LCD458789 LLZ458788:LLZ458789 LVV458788:LVV458789 MFR458788:MFR458789 MPN458788:MPN458789 MZJ458788:MZJ458789 NJF458788:NJF458789 NTB458788:NTB458789 OCX458788:OCX458789 OMT458788:OMT458789 OWP458788:OWP458789 PGL458788:PGL458789 PQH458788:PQH458789 QAD458788:QAD458789 QJZ458788:QJZ458789 QTV458788:QTV458789 RDR458788:RDR458789 RNN458788:RNN458789 RXJ458788:RXJ458789 SHF458788:SHF458789 SRB458788:SRB458789 TAX458788:TAX458789 TKT458788:TKT458789 TUP458788:TUP458789 UEL458788:UEL458789 UOH458788:UOH458789 UYD458788:UYD458789 VHZ458788:VHZ458789 VRV458788:VRV458789 WBR458788:WBR458789 WLN458788:WLN458789 WVJ458788:WVJ458789 B524324:B524325 IX524324:IX524325 ST524324:ST524325 ACP524324:ACP524325 AML524324:AML524325 AWH524324:AWH524325 BGD524324:BGD524325 BPZ524324:BPZ524325 BZV524324:BZV524325 CJR524324:CJR524325 CTN524324:CTN524325 DDJ524324:DDJ524325 DNF524324:DNF524325 DXB524324:DXB524325 EGX524324:EGX524325 EQT524324:EQT524325 FAP524324:FAP524325 FKL524324:FKL524325 FUH524324:FUH524325 GED524324:GED524325 GNZ524324:GNZ524325 GXV524324:GXV524325 HHR524324:HHR524325 HRN524324:HRN524325 IBJ524324:IBJ524325 ILF524324:ILF524325 IVB524324:IVB524325 JEX524324:JEX524325 JOT524324:JOT524325 JYP524324:JYP524325 KIL524324:KIL524325 KSH524324:KSH524325 LCD524324:LCD524325 LLZ524324:LLZ524325 LVV524324:LVV524325 MFR524324:MFR524325 MPN524324:MPN524325 MZJ524324:MZJ524325 NJF524324:NJF524325 NTB524324:NTB524325 OCX524324:OCX524325 OMT524324:OMT524325 OWP524324:OWP524325 PGL524324:PGL524325 PQH524324:PQH524325 QAD524324:QAD524325 QJZ524324:QJZ524325 QTV524324:QTV524325 RDR524324:RDR524325 RNN524324:RNN524325 RXJ524324:RXJ524325 SHF524324:SHF524325 SRB524324:SRB524325 TAX524324:TAX524325 TKT524324:TKT524325 TUP524324:TUP524325 UEL524324:UEL524325 UOH524324:UOH524325 UYD524324:UYD524325 VHZ524324:VHZ524325 VRV524324:VRV524325 WBR524324:WBR524325 WLN524324:WLN524325 WVJ524324:WVJ524325 B589860:B589861 IX589860:IX589861 ST589860:ST589861 ACP589860:ACP589861 AML589860:AML589861 AWH589860:AWH589861 BGD589860:BGD589861 BPZ589860:BPZ589861 BZV589860:BZV589861 CJR589860:CJR589861 CTN589860:CTN589861 DDJ589860:DDJ589861 DNF589860:DNF589861 DXB589860:DXB589861 EGX589860:EGX589861 EQT589860:EQT589861 FAP589860:FAP589861 FKL589860:FKL589861 FUH589860:FUH589861 GED589860:GED589861 GNZ589860:GNZ589861 GXV589860:GXV589861 HHR589860:HHR589861 HRN589860:HRN589861 IBJ589860:IBJ589861 ILF589860:ILF589861 IVB589860:IVB589861 JEX589860:JEX589861 JOT589860:JOT589861 JYP589860:JYP589861 KIL589860:KIL589861 KSH589860:KSH589861 LCD589860:LCD589861 LLZ589860:LLZ589861 LVV589860:LVV589861 MFR589860:MFR589861 MPN589860:MPN589861 MZJ589860:MZJ589861 NJF589860:NJF589861 NTB589860:NTB589861 OCX589860:OCX589861 OMT589860:OMT589861 OWP589860:OWP589861 PGL589860:PGL589861 PQH589860:PQH589861 QAD589860:QAD589861 QJZ589860:QJZ589861 QTV589860:QTV589861 RDR589860:RDR589861 RNN589860:RNN589861 RXJ589860:RXJ589861 SHF589860:SHF589861 SRB589860:SRB589861 TAX589860:TAX589861 TKT589860:TKT589861 TUP589860:TUP589861 UEL589860:UEL589861 UOH589860:UOH589861 UYD589860:UYD589861 VHZ589860:VHZ589861 VRV589860:VRV589861 WBR589860:WBR589861 WLN589860:WLN589861 WVJ589860:WVJ589861 B655396:B655397 IX655396:IX655397 ST655396:ST655397 ACP655396:ACP655397 AML655396:AML655397 AWH655396:AWH655397 BGD655396:BGD655397 BPZ655396:BPZ655397 BZV655396:BZV655397 CJR655396:CJR655397 CTN655396:CTN655397 DDJ655396:DDJ655397 DNF655396:DNF655397 DXB655396:DXB655397 EGX655396:EGX655397 EQT655396:EQT655397 FAP655396:FAP655397 FKL655396:FKL655397 FUH655396:FUH655397 GED655396:GED655397 GNZ655396:GNZ655397 GXV655396:GXV655397 HHR655396:HHR655397 HRN655396:HRN655397 IBJ655396:IBJ655397 ILF655396:ILF655397 IVB655396:IVB655397 JEX655396:JEX655397 JOT655396:JOT655397 JYP655396:JYP655397 KIL655396:KIL655397 KSH655396:KSH655397 LCD655396:LCD655397 LLZ655396:LLZ655397 LVV655396:LVV655397 MFR655396:MFR655397 MPN655396:MPN655397 MZJ655396:MZJ655397 NJF655396:NJF655397 NTB655396:NTB655397 OCX655396:OCX655397 OMT655396:OMT655397 OWP655396:OWP655397 PGL655396:PGL655397 PQH655396:PQH655397 QAD655396:QAD655397 QJZ655396:QJZ655397 QTV655396:QTV655397 RDR655396:RDR655397 RNN655396:RNN655397 RXJ655396:RXJ655397 SHF655396:SHF655397 SRB655396:SRB655397 TAX655396:TAX655397 TKT655396:TKT655397 TUP655396:TUP655397 UEL655396:UEL655397 UOH655396:UOH655397 UYD655396:UYD655397 VHZ655396:VHZ655397 VRV655396:VRV655397 WBR655396:WBR655397 WLN655396:WLN655397 WVJ655396:WVJ655397 B720932:B720933 IX720932:IX720933 ST720932:ST720933 ACP720932:ACP720933 AML720932:AML720933 AWH720932:AWH720933 BGD720932:BGD720933 BPZ720932:BPZ720933 BZV720932:BZV720933 CJR720932:CJR720933 CTN720932:CTN720933 DDJ720932:DDJ720933 DNF720932:DNF720933 DXB720932:DXB720933 EGX720932:EGX720933 EQT720932:EQT720933 FAP720932:FAP720933 FKL720932:FKL720933 FUH720932:FUH720933 GED720932:GED720933 GNZ720932:GNZ720933 GXV720932:GXV720933 HHR720932:HHR720933 HRN720932:HRN720933 IBJ720932:IBJ720933 ILF720932:ILF720933 IVB720932:IVB720933 JEX720932:JEX720933 JOT720932:JOT720933 JYP720932:JYP720933 KIL720932:KIL720933 KSH720932:KSH720933 LCD720932:LCD720933 LLZ720932:LLZ720933 LVV720932:LVV720933 MFR720932:MFR720933 MPN720932:MPN720933 MZJ720932:MZJ720933 NJF720932:NJF720933 NTB720932:NTB720933 OCX720932:OCX720933 OMT720932:OMT720933 OWP720932:OWP720933 PGL720932:PGL720933 PQH720932:PQH720933 QAD720932:QAD720933 QJZ720932:QJZ720933 QTV720932:QTV720933 RDR720932:RDR720933 RNN720932:RNN720933 RXJ720932:RXJ720933 SHF720932:SHF720933 SRB720932:SRB720933 TAX720932:TAX720933 TKT720932:TKT720933 TUP720932:TUP720933 UEL720932:UEL720933 UOH720932:UOH720933 UYD720932:UYD720933 VHZ720932:VHZ720933 VRV720932:VRV720933 WBR720932:WBR720933 WLN720932:WLN720933 WVJ720932:WVJ720933 B786468:B786469 IX786468:IX786469 ST786468:ST786469 ACP786468:ACP786469 AML786468:AML786469 AWH786468:AWH786469 BGD786468:BGD786469 BPZ786468:BPZ786469 BZV786468:BZV786469 CJR786468:CJR786469 CTN786468:CTN786469 DDJ786468:DDJ786469 DNF786468:DNF786469 DXB786468:DXB786469 EGX786468:EGX786469 EQT786468:EQT786469 FAP786468:FAP786469 FKL786468:FKL786469 FUH786468:FUH786469 GED786468:GED786469 GNZ786468:GNZ786469 GXV786468:GXV786469 HHR786468:HHR786469 HRN786468:HRN786469 IBJ786468:IBJ786469 ILF786468:ILF786469 IVB786468:IVB786469 JEX786468:JEX786469 JOT786468:JOT786469 JYP786468:JYP786469 KIL786468:KIL786469 KSH786468:KSH786469 LCD786468:LCD786469 LLZ786468:LLZ786469 LVV786468:LVV786469 MFR786468:MFR786469 MPN786468:MPN786469 MZJ786468:MZJ786469 NJF786468:NJF786469 NTB786468:NTB786469 OCX786468:OCX786469 OMT786468:OMT786469 OWP786468:OWP786469 PGL786468:PGL786469 PQH786468:PQH786469 QAD786468:QAD786469 QJZ786468:QJZ786469 QTV786468:QTV786469 RDR786468:RDR786469 RNN786468:RNN786469 RXJ786468:RXJ786469 SHF786468:SHF786469 SRB786468:SRB786469 TAX786468:TAX786469 TKT786468:TKT786469 TUP786468:TUP786469 UEL786468:UEL786469 UOH786468:UOH786469 UYD786468:UYD786469 VHZ786468:VHZ786469 VRV786468:VRV786469 WBR786468:WBR786469 WLN786468:WLN786469 WVJ786468:WVJ786469 B852004:B852005 IX852004:IX852005 ST852004:ST852005 ACP852004:ACP852005 AML852004:AML852005 AWH852004:AWH852005 BGD852004:BGD852005 BPZ852004:BPZ852005 BZV852004:BZV852005 CJR852004:CJR852005 CTN852004:CTN852005 DDJ852004:DDJ852005 DNF852004:DNF852005 DXB852004:DXB852005 EGX852004:EGX852005 EQT852004:EQT852005 FAP852004:FAP852005 FKL852004:FKL852005 FUH852004:FUH852005 GED852004:GED852005 GNZ852004:GNZ852005 GXV852004:GXV852005 HHR852004:HHR852005 HRN852004:HRN852005 IBJ852004:IBJ852005 ILF852004:ILF852005 IVB852004:IVB852005 JEX852004:JEX852005 JOT852004:JOT852005 JYP852004:JYP852005 KIL852004:KIL852005 KSH852004:KSH852005 LCD852004:LCD852005 LLZ852004:LLZ852005 LVV852004:LVV852005 MFR852004:MFR852005 MPN852004:MPN852005 MZJ852004:MZJ852005 NJF852004:NJF852005 NTB852004:NTB852005 OCX852004:OCX852005 OMT852004:OMT852005 OWP852004:OWP852005 PGL852004:PGL852005 PQH852004:PQH852005 QAD852004:QAD852005 QJZ852004:QJZ852005 QTV852004:QTV852005 RDR852004:RDR852005 RNN852004:RNN852005 RXJ852004:RXJ852005 SHF852004:SHF852005 SRB852004:SRB852005 TAX852004:TAX852005 TKT852004:TKT852005 TUP852004:TUP852005 UEL852004:UEL852005 UOH852004:UOH852005 UYD852004:UYD852005 VHZ852004:VHZ852005 VRV852004:VRV852005 WBR852004:WBR852005 WLN852004:WLN852005 WVJ852004:WVJ852005 B917540:B917541 IX917540:IX917541 ST917540:ST917541 ACP917540:ACP917541 AML917540:AML917541 AWH917540:AWH917541 BGD917540:BGD917541 BPZ917540:BPZ917541 BZV917540:BZV917541 CJR917540:CJR917541 CTN917540:CTN917541 DDJ917540:DDJ917541 DNF917540:DNF917541 DXB917540:DXB917541 EGX917540:EGX917541 EQT917540:EQT917541 FAP917540:FAP917541 FKL917540:FKL917541 FUH917540:FUH917541 GED917540:GED917541 GNZ917540:GNZ917541 GXV917540:GXV917541 HHR917540:HHR917541 HRN917540:HRN917541 IBJ917540:IBJ917541 ILF917540:ILF917541 IVB917540:IVB917541 JEX917540:JEX917541 JOT917540:JOT917541 JYP917540:JYP917541 KIL917540:KIL917541 KSH917540:KSH917541 LCD917540:LCD917541 LLZ917540:LLZ917541 LVV917540:LVV917541 MFR917540:MFR917541 MPN917540:MPN917541 MZJ917540:MZJ917541 NJF917540:NJF917541 NTB917540:NTB917541 OCX917540:OCX917541 OMT917540:OMT917541 OWP917540:OWP917541 PGL917540:PGL917541 PQH917540:PQH917541 QAD917540:QAD917541 QJZ917540:QJZ917541 QTV917540:QTV917541 RDR917540:RDR917541 RNN917540:RNN917541 RXJ917540:RXJ917541 SHF917540:SHF917541 SRB917540:SRB917541 TAX917540:TAX917541 TKT917540:TKT917541 TUP917540:TUP917541 UEL917540:UEL917541 UOH917540:UOH917541 UYD917540:UYD917541 VHZ917540:VHZ917541 VRV917540:VRV917541 WBR917540:WBR917541 WLN917540:WLN917541 WVJ917540:WVJ917541 B983076:B983077 IX983076:IX983077 ST983076:ST983077 ACP983076:ACP983077 AML983076:AML983077 AWH983076:AWH983077 BGD983076:BGD983077 BPZ983076:BPZ983077 BZV983076:BZV983077 CJR983076:CJR983077 CTN983076:CTN983077 DDJ983076:DDJ983077 DNF983076:DNF983077 DXB983076:DXB983077 EGX983076:EGX983077 EQT983076:EQT983077 FAP983076:FAP983077 FKL983076:FKL983077 FUH983076:FUH983077 GED983076:GED983077 GNZ983076:GNZ983077 GXV983076:GXV983077 HHR983076:HHR983077 HRN983076:HRN983077 IBJ983076:IBJ983077 ILF983076:ILF983077 IVB983076:IVB983077 JEX983076:JEX983077 JOT983076:JOT983077 JYP983076:JYP983077 KIL983076:KIL983077 KSH983076:KSH983077 LCD983076:LCD983077 LLZ983076:LLZ983077 LVV983076:LVV983077 MFR983076:MFR983077 MPN983076:MPN983077 MZJ983076:MZJ983077 NJF983076:NJF983077 NTB983076:NTB983077 OCX983076:OCX983077 OMT983076:OMT983077 OWP983076:OWP983077 PGL983076:PGL983077 PQH983076:PQH983077 QAD983076:QAD983077 QJZ983076:QJZ983077 QTV983076:QTV983077 RDR983076:RDR983077 RNN983076:RNN983077 RXJ983076:RXJ983077 SHF983076:SHF983077 SRB983076:SRB983077 TAX983076:TAX983077 TKT983076:TKT983077 TUP983076:TUP983077 UEL983076:UEL983077 UOH983076:UOH983077 UYD983076:UYD983077 VHZ983076:VHZ983077 VRV983076:VRV983077 WBR983076:WBR983077 WLN983076:WLN983077 WVJ983076:WVJ983077" xr:uid="{00000000-0002-0000-0000-00000D000000}">
      <formula1>1</formula1>
      <formula2>9.99999999999999E+26</formula2>
    </dataValidation>
    <dataValidation type="whole" allowBlank="1" showInputMessage="1" showErrorMessage="1" sqref="WVJ983070 IX31:IX33 ST31:ST33 ACP31:ACP33 AML31:AML33 AWH31:AWH33 BGD31:BGD33 BPZ31:BPZ33 BZV31:BZV33 CJR31:CJR33 CTN31:CTN33 DDJ31:DDJ33 DNF31:DNF33 DXB31:DXB33 EGX31:EGX33 EQT31:EQT33 FAP31:FAP33 FKL31:FKL33 FUH31:FUH33 GED31:GED33 GNZ31:GNZ33 GXV31:GXV33 HHR31:HHR33 HRN31:HRN33 IBJ31:IBJ33 ILF31:ILF33 IVB31:IVB33 JEX31:JEX33 JOT31:JOT33 JYP31:JYP33 KIL31:KIL33 KSH31:KSH33 LCD31:LCD33 LLZ31:LLZ33 LVV31:LVV33 MFR31:MFR33 MPN31:MPN33 MZJ31:MZJ33 NJF31:NJF33 NTB31:NTB33 OCX31:OCX33 OMT31:OMT33 OWP31:OWP33 PGL31:PGL33 PQH31:PQH33 QAD31:QAD33 QJZ31:QJZ33 QTV31:QTV33 RDR31:RDR33 RNN31:RNN33 RXJ31:RXJ33 SHF31:SHF33 SRB31:SRB33 TAX31:TAX33 TKT31:TKT33 TUP31:TUP33 UEL31:UEL33 UOH31:UOH33 UYD31:UYD33 VHZ31:VHZ33 VRV31:VRV33 WBR31:WBR33 WLN31:WLN33 WVJ31:WVJ33 B65566 IX65566 ST65566 ACP65566 AML65566 AWH65566 BGD65566 BPZ65566 BZV65566 CJR65566 CTN65566 DDJ65566 DNF65566 DXB65566 EGX65566 EQT65566 FAP65566 FKL65566 FUH65566 GED65566 GNZ65566 GXV65566 HHR65566 HRN65566 IBJ65566 ILF65566 IVB65566 JEX65566 JOT65566 JYP65566 KIL65566 KSH65566 LCD65566 LLZ65566 LVV65566 MFR65566 MPN65566 MZJ65566 NJF65566 NTB65566 OCX65566 OMT65566 OWP65566 PGL65566 PQH65566 QAD65566 QJZ65566 QTV65566 RDR65566 RNN65566 RXJ65566 SHF65566 SRB65566 TAX65566 TKT65566 TUP65566 UEL65566 UOH65566 UYD65566 VHZ65566 VRV65566 WBR65566 WLN65566 WVJ65566 B131102 IX131102 ST131102 ACP131102 AML131102 AWH131102 BGD131102 BPZ131102 BZV131102 CJR131102 CTN131102 DDJ131102 DNF131102 DXB131102 EGX131102 EQT131102 FAP131102 FKL131102 FUH131102 GED131102 GNZ131102 GXV131102 HHR131102 HRN131102 IBJ131102 ILF131102 IVB131102 JEX131102 JOT131102 JYP131102 KIL131102 KSH131102 LCD131102 LLZ131102 LVV131102 MFR131102 MPN131102 MZJ131102 NJF131102 NTB131102 OCX131102 OMT131102 OWP131102 PGL131102 PQH131102 QAD131102 QJZ131102 QTV131102 RDR131102 RNN131102 RXJ131102 SHF131102 SRB131102 TAX131102 TKT131102 TUP131102 UEL131102 UOH131102 UYD131102 VHZ131102 VRV131102 WBR131102 WLN131102 WVJ131102 B196638 IX196638 ST196638 ACP196638 AML196638 AWH196638 BGD196638 BPZ196638 BZV196638 CJR196638 CTN196638 DDJ196638 DNF196638 DXB196638 EGX196638 EQT196638 FAP196638 FKL196638 FUH196638 GED196638 GNZ196638 GXV196638 HHR196638 HRN196638 IBJ196638 ILF196638 IVB196638 JEX196638 JOT196638 JYP196638 KIL196638 KSH196638 LCD196638 LLZ196638 LVV196638 MFR196638 MPN196638 MZJ196638 NJF196638 NTB196638 OCX196638 OMT196638 OWP196638 PGL196638 PQH196638 QAD196638 QJZ196638 QTV196638 RDR196638 RNN196638 RXJ196638 SHF196638 SRB196638 TAX196638 TKT196638 TUP196638 UEL196638 UOH196638 UYD196638 VHZ196638 VRV196638 WBR196638 WLN196638 WVJ196638 B262174 IX262174 ST262174 ACP262174 AML262174 AWH262174 BGD262174 BPZ262174 BZV262174 CJR262174 CTN262174 DDJ262174 DNF262174 DXB262174 EGX262174 EQT262174 FAP262174 FKL262174 FUH262174 GED262174 GNZ262174 GXV262174 HHR262174 HRN262174 IBJ262174 ILF262174 IVB262174 JEX262174 JOT262174 JYP262174 KIL262174 KSH262174 LCD262174 LLZ262174 LVV262174 MFR262174 MPN262174 MZJ262174 NJF262174 NTB262174 OCX262174 OMT262174 OWP262174 PGL262174 PQH262174 QAD262174 QJZ262174 QTV262174 RDR262174 RNN262174 RXJ262174 SHF262174 SRB262174 TAX262174 TKT262174 TUP262174 UEL262174 UOH262174 UYD262174 VHZ262174 VRV262174 WBR262174 WLN262174 WVJ262174 B327710 IX327710 ST327710 ACP327710 AML327710 AWH327710 BGD327710 BPZ327710 BZV327710 CJR327710 CTN327710 DDJ327710 DNF327710 DXB327710 EGX327710 EQT327710 FAP327710 FKL327710 FUH327710 GED327710 GNZ327710 GXV327710 HHR327710 HRN327710 IBJ327710 ILF327710 IVB327710 JEX327710 JOT327710 JYP327710 KIL327710 KSH327710 LCD327710 LLZ327710 LVV327710 MFR327710 MPN327710 MZJ327710 NJF327710 NTB327710 OCX327710 OMT327710 OWP327710 PGL327710 PQH327710 QAD327710 QJZ327710 QTV327710 RDR327710 RNN327710 RXJ327710 SHF327710 SRB327710 TAX327710 TKT327710 TUP327710 UEL327710 UOH327710 UYD327710 VHZ327710 VRV327710 WBR327710 WLN327710 WVJ327710 B393246 IX393246 ST393246 ACP393246 AML393246 AWH393246 BGD393246 BPZ393246 BZV393246 CJR393246 CTN393246 DDJ393246 DNF393246 DXB393246 EGX393246 EQT393246 FAP393246 FKL393246 FUH393246 GED393246 GNZ393246 GXV393246 HHR393246 HRN393246 IBJ393246 ILF393246 IVB393246 JEX393246 JOT393246 JYP393246 KIL393246 KSH393246 LCD393246 LLZ393246 LVV393246 MFR393246 MPN393246 MZJ393246 NJF393246 NTB393246 OCX393246 OMT393246 OWP393246 PGL393246 PQH393246 QAD393246 QJZ393246 QTV393246 RDR393246 RNN393246 RXJ393246 SHF393246 SRB393246 TAX393246 TKT393246 TUP393246 UEL393246 UOH393246 UYD393246 VHZ393246 VRV393246 WBR393246 WLN393246 WVJ393246 B458782 IX458782 ST458782 ACP458782 AML458782 AWH458782 BGD458782 BPZ458782 BZV458782 CJR458782 CTN458782 DDJ458782 DNF458782 DXB458782 EGX458782 EQT458782 FAP458782 FKL458782 FUH458782 GED458782 GNZ458782 GXV458782 HHR458782 HRN458782 IBJ458782 ILF458782 IVB458782 JEX458782 JOT458782 JYP458782 KIL458782 KSH458782 LCD458782 LLZ458782 LVV458782 MFR458782 MPN458782 MZJ458782 NJF458782 NTB458782 OCX458782 OMT458782 OWP458782 PGL458782 PQH458782 QAD458782 QJZ458782 QTV458782 RDR458782 RNN458782 RXJ458782 SHF458782 SRB458782 TAX458782 TKT458782 TUP458782 UEL458782 UOH458782 UYD458782 VHZ458782 VRV458782 WBR458782 WLN458782 WVJ458782 B524318 IX524318 ST524318 ACP524318 AML524318 AWH524318 BGD524318 BPZ524318 BZV524318 CJR524318 CTN524318 DDJ524318 DNF524318 DXB524318 EGX524318 EQT524318 FAP524318 FKL524318 FUH524318 GED524318 GNZ524318 GXV524318 HHR524318 HRN524318 IBJ524318 ILF524318 IVB524318 JEX524318 JOT524318 JYP524318 KIL524318 KSH524318 LCD524318 LLZ524318 LVV524318 MFR524318 MPN524318 MZJ524318 NJF524318 NTB524318 OCX524318 OMT524318 OWP524318 PGL524318 PQH524318 QAD524318 QJZ524318 QTV524318 RDR524318 RNN524318 RXJ524318 SHF524318 SRB524318 TAX524318 TKT524318 TUP524318 UEL524318 UOH524318 UYD524318 VHZ524318 VRV524318 WBR524318 WLN524318 WVJ524318 B589854 IX589854 ST589854 ACP589854 AML589854 AWH589854 BGD589854 BPZ589854 BZV589854 CJR589854 CTN589854 DDJ589854 DNF589854 DXB589854 EGX589854 EQT589854 FAP589854 FKL589854 FUH589854 GED589854 GNZ589854 GXV589854 HHR589854 HRN589854 IBJ589854 ILF589854 IVB589854 JEX589854 JOT589854 JYP589854 KIL589854 KSH589854 LCD589854 LLZ589854 LVV589854 MFR589854 MPN589854 MZJ589854 NJF589854 NTB589854 OCX589854 OMT589854 OWP589854 PGL589854 PQH589854 QAD589854 QJZ589854 QTV589854 RDR589854 RNN589854 RXJ589854 SHF589854 SRB589854 TAX589854 TKT589854 TUP589854 UEL589854 UOH589854 UYD589854 VHZ589854 VRV589854 WBR589854 WLN589854 WVJ589854 B655390 IX655390 ST655390 ACP655390 AML655390 AWH655390 BGD655390 BPZ655390 BZV655390 CJR655390 CTN655390 DDJ655390 DNF655390 DXB655390 EGX655390 EQT655390 FAP655390 FKL655390 FUH655390 GED655390 GNZ655390 GXV655390 HHR655390 HRN655390 IBJ655390 ILF655390 IVB655390 JEX655390 JOT655390 JYP655390 KIL655390 KSH655390 LCD655390 LLZ655390 LVV655390 MFR655390 MPN655390 MZJ655390 NJF655390 NTB655390 OCX655390 OMT655390 OWP655390 PGL655390 PQH655390 QAD655390 QJZ655390 QTV655390 RDR655390 RNN655390 RXJ655390 SHF655390 SRB655390 TAX655390 TKT655390 TUP655390 UEL655390 UOH655390 UYD655390 VHZ655390 VRV655390 WBR655390 WLN655390 WVJ655390 B720926 IX720926 ST720926 ACP720926 AML720926 AWH720926 BGD720926 BPZ720926 BZV720926 CJR720926 CTN720926 DDJ720926 DNF720926 DXB720926 EGX720926 EQT720926 FAP720926 FKL720926 FUH720926 GED720926 GNZ720926 GXV720926 HHR720926 HRN720926 IBJ720926 ILF720926 IVB720926 JEX720926 JOT720926 JYP720926 KIL720926 KSH720926 LCD720926 LLZ720926 LVV720926 MFR720926 MPN720926 MZJ720926 NJF720926 NTB720926 OCX720926 OMT720926 OWP720926 PGL720926 PQH720926 QAD720926 QJZ720926 QTV720926 RDR720926 RNN720926 RXJ720926 SHF720926 SRB720926 TAX720926 TKT720926 TUP720926 UEL720926 UOH720926 UYD720926 VHZ720926 VRV720926 WBR720926 WLN720926 WVJ720926 B786462 IX786462 ST786462 ACP786462 AML786462 AWH786462 BGD786462 BPZ786462 BZV786462 CJR786462 CTN786462 DDJ786462 DNF786462 DXB786462 EGX786462 EQT786462 FAP786462 FKL786462 FUH786462 GED786462 GNZ786462 GXV786462 HHR786462 HRN786462 IBJ786462 ILF786462 IVB786462 JEX786462 JOT786462 JYP786462 KIL786462 KSH786462 LCD786462 LLZ786462 LVV786462 MFR786462 MPN786462 MZJ786462 NJF786462 NTB786462 OCX786462 OMT786462 OWP786462 PGL786462 PQH786462 QAD786462 QJZ786462 QTV786462 RDR786462 RNN786462 RXJ786462 SHF786462 SRB786462 TAX786462 TKT786462 TUP786462 UEL786462 UOH786462 UYD786462 VHZ786462 VRV786462 WBR786462 WLN786462 WVJ786462 B851998 IX851998 ST851998 ACP851998 AML851998 AWH851998 BGD851998 BPZ851998 BZV851998 CJR851998 CTN851998 DDJ851998 DNF851998 DXB851998 EGX851998 EQT851998 FAP851998 FKL851998 FUH851998 GED851998 GNZ851998 GXV851998 HHR851998 HRN851998 IBJ851998 ILF851998 IVB851998 JEX851998 JOT851998 JYP851998 KIL851998 KSH851998 LCD851998 LLZ851998 LVV851998 MFR851998 MPN851998 MZJ851998 NJF851998 NTB851998 OCX851998 OMT851998 OWP851998 PGL851998 PQH851998 QAD851998 QJZ851998 QTV851998 RDR851998 RNN851998 RXJ851998 SHF851998 SRB851998 TAX851998 TKT851998 TUP851998 UEL851998 UOH851998 UYD851998 VHZ851998 VRV851998 WBR851998 WLN851998 WVJ851998 B917534 IX917534 ST917534 ACP917534 AML917534 AWH917534 BGD917534 BPZ917534 BZV917534 CJR917534 CTN917534 DDJ917534 DNF917534 DXB917534 EGX917534 EQT917534 FAP917534 FKL917534 FUH917534 GED917534 GNZ917534 GXV917534 HHR917534 HRN917534 IBJ917534 ILF917534 IVB917534 JEX917534 JOT917534 JYP917534 KIL917534 KSH917534 LCD917534 LLZ917534 LVV917534 MFR917534 MPN917534 MZJ917534 NJF917534 NTB917534 OCX917534 OMT917534 OWP917534 PGL917534 PQH917534 QAD917534 QJZ917534 QTV917534 RDR917534 RNN917534 RXJ917534 SHF917534 SRB917534 TAX917534 TKT917534 TUP917534 UEL917534 UOH917534 UYD917534 VHZ917534 VRV917534 WBR917534 WLN917534 WVJ917534 B983070 IX983070 ST983070 ACP983070 AML983070 AWH983070 BGD983070 BPZ983070 BZV983070 CJR983070 CTN983070 DDJ983070 DNF983070 DXB983070 EGX983070 EQT983070 FAP983070 FKL983070 FUH983070 GED983070 GNZ983070 GXV983070 HHR983070 HRN983070 IBJ983070 ILF983070 IVB983070 JEX983070 JOT983070 JYP983070 KIL983070 KSH983070 LCD983070 LLZ983070 LVV983070 MFR983070 MPN983070 MZJ983070 NJF983070 NTB983070 OCX983070 OMT983070 OWP983070 PGL983070 PQH983070 QAD983070 QJZ983070 QTV983070 RDR983070 RNN983070 RXJ983070 SHF983070 SRB983070 TAX983070 TKT983070 TUP983070 UEL983070 UOH983070 UYD983070 VHZ983070 VRV983070 WBR983070 WLN983070 B31 B33" xr:uid="{00000000-0002-0000-0000-00000E000000}">
      <formula1>1</formula1>
      <formula2>999999999</formula2>
    </dataValidation>
    <dataValidation type="decimal" allowBlank="1" showInputMessage="1" showErrorMessage="1" promptTitle="Comisión" prompt="La máxima comisión que se otorga es de 25%" sqref="B34 IX34 ST34 ACP34 AML34 AWH34 BGD34 BPZ34 BZV34 CJR34 CTN34 DDJ34 DNF34 DXB34 EGX34 EQT34 FAP34 FKL34 FUH34 GED34 GNZ34 GXV34 HHR34 HRN34 IBJ34 ILF34 IVB34 JEX34 JOT34 JYP34 KIL34 KSH34 LCD34 LLZ34 LVV34 MFR34 MPN34 MZJ34 NJF34 NTB34 OCX34 OMT34 OWP34 PGL34 PQH34 QAD34 QJZ34 QTV34 RDR34 RNN34 RXJ34 SHF34 SRB34 TAX34 TKT34 TUP34 UEL34 UOH34 UYD34 VHZ34 VRV34 WBR34 WLN34 WVJ34 B65567 IX65567 ST65567 ACP65567 AML65567 AWH65567 BGD65567 BPZ65567 BZV65567 CJR65567 CTN65567 DDJ65567 DNF65567 DXB65567 EGX65567 EQT65567 FAP65567 FKL65567 FUH65567 GED65567 GNZ65567 GXV65567 HHR65567 HRN65567 IBJ65567 ILF65567 IVB65567 JEX65567 JOT65567 JYP65567 KIL65567 KSH65567 LCD65567 LLZ65567 LVV65567 MFR65567 MPN65567 MZJ65567 NJF65567 NTB65567 OCX65567 OMT65567 OWP65567 PGL65567 PQH65567 QAD65567 QJZ65567 QTV65567 RDR65567 RNN65567 RXJ65567 SHF65567 SRB65567 TAX65567 TKT65567 TUP65567 UEL65567 UOH65567 UYD65567 VHZ65567 VRV65567 WBR65567 WLN65567 WVJ65567 B131103 IX131103 ST131103 ACP131103 AML131103 AWH131103 BGD131103 BPZ131103 BZV131103 CJR131103 CTN131103 DDJ131103 DNF131103 DXB131103 EGX131103 EQT131103 FAP131103 FKL131103 FUH131103 GED131103 GNZ131103 GXV131103 HHR131103 HRN131103 IBJ131103 ILF131103 IVB131103 JEX131103 JOT131103 JYP131103 KIL131103 KSH131103 LCD131103 LLZ131103 LVV131103 MFR131103 MPN131103 MZJ131103 NJF131103 NTB131103 OCX131103 OMT131103 OWP131103 PGL131103 PQH131103 QAD131103 QJZ131103 QTV131103 RDR131103 RNN131103 RXJ131103 SHF131103 SRB131103 TAX131103 TKT131103 TUP131103 UEL131103 UOH131103 UYD131103 VHZ131103 VRV131103 WBR131103 WLN131103 WVJ131103 B196639 IX196639 ST196639 ACP196639 AML196639 AWH196639 BGD196639 BPZ196639 BZV196639 CJR196639 CTN196639 DDJ196639 DNF196639 DXB196639 EGX196639 EQT196639 FAP196639 FKL196639 FUH196639 GED196639 GNZ196639 GXV196639 HHR196639 HRN196639 IBJ196639 ILF196639 IVB196639 JEX196639 JOT196639 JYP196639 KIL196639 KSH196639 LCD196639 LLZ196639 LVV196639 MFR196639 MPN196639 MZJ196639 NJF196639 NTB196639 OCX196639 OMT196639 OWP196639 PGL196639 PQH196639 QAD196639 QJZ196639 QTV196639 RDR196639 RNN196639 RXJ196639 SHF196639 SRB196639 TAX196639 TKT196639 TUP196639 UEL196639 UOH196639 UYD196639 VHZ196639 VRV196639 WBR196639 WLN196639 WVJ196639 B262175 IX262175 ST262175 ACP262175 AML262175 AWH262175 BGD262175 BPZ262175 BZV262175 CJR262175 CTN262175 DDJ262175 DNF262175 DXB262175 EGX262175 EQT262175 FAP262175 FKL262175 FUH262175 GED262175 GNZ262175 GXV262175 HHR262175 HRN262175 IBJ262175 ILF262175 IVB262175 JEX262175 JOT262175 JYP262175 KIL262175 KSH262175 LCD262175 LLZ262175 LVV262175 MFR262175 MPN262175 MZJ262175 NJF262175 NTB262175 OCX262175 OMT262175 OWP262175 PGL262175 PQH262175 QAD262175 QJZ262175 QTV262175 RDR262175 RNN262175 RXJ262175 SHF262175 SRB262175 TAX262175 TKT262175 TUP262175 UEL262175 UOH262175 UYD262175 VHZ262175 VRV262175 WBR262175 WLN262175 WVJ262175 B327711 IX327711 ST327711 ACP327711 AML327711 AWH327711 BGD327711 BPZ327711 BZV327711 CJR327711 CTN327711 DDJ327711 DNF327711 DXB327711 EGX327711 EQT327711 FAP327711 FKL327711 FUH327711 GED327711 GNZ327711 GXV327711 HHR327711 HRN327711 IBJ327711 ILF327711 IVB327711 JEX327711 JOT327711 JYP327711 KIL327711 KSH327711 LCD327711 LLZ327711 LVV327711 MFR327711 MPN327711 MZJ327711 NJF327711 NTB327711 OCX327711 OMT327711 OWP327711 PGL327711 PQH327711 QAD327711 QJZ327711 QTV327711 RDR327711 RNN327711 RXJ327711 SHF327711 SRB327711 TAX327711 TKT327711 TUP327711 UEL327711 UOH327711 UYD327711 VHZ327711 VRV327711 WBR327711 WLN327711 WVJ327711 B393247 IX393247 ST393247 ACP393247 AML393247 AWH393247 BGD393247 BPZ393247 BZV393247 CJR393247 CTN393247 DDJ393247 DNF393247 DXB393247 EGX393247 EQT393247 FAP393247 FKL393247 FUH393247 GED393247 GNZ393247 GXV393247 HHR393247 HRN393247 IBJ393247 ILF393247 IVB393247 JEX393247 JOT393247 JYP393247 KIL393247 KSH393247 LCD393247 LLZ393247 LVV393247 MFR393247 MPN393247 MZJ393247 NJF393247 NTB393247 OCX393247 OMT393247 OWP393247 PGL393247 PQH393247 QAD393247 QJZ393247 QTV393247 RDR393247 RNN393247 RXJ393247 SHF393247 SRB393247 TAX393247 TKT393247 TUP393247 UEL393247 UOH393247 UYD393247 VHZ393247 VRV393247 WBR393247 WLN393247 WVJ393247 B458783 IX458783 ST458783 ACP458783 AML458783 AWH458783 BGD458783 BPZ458783 BZV458783 CJR458783 CTN458783 DDJ458783 DNF458783 DXB458783 EGX458783 EQT458783 FAP458783 FKL458783 FUH458783 GED458783 GNZ458783 GXV458783 HHR458783 HRN458783 IBJ458783 ILF458783 IVB458783 JEX458783 JOT458783 JYP458783 KIL458783 KSH458783 LCD458783 LLZ458783 LVV458783 MFR458783 MPN458783 MZJ458783 NJF458783 NTB458783 OCX458783 OMT458783 OWP458783 PGL458783 PQH458783 QAD458783 QJZ458783 QTV458783 RDR458783 RNN458783 RXJ458783 SHF458783 SRB458783 TAX458783 TKT458783 TUP458783 UEL458783 UOH458783 UYD458783 VHZ458783 VRV458783 WBR458783 WLN458783 WVJ458783 B524319 IX524319 ST524319 ACP524319 AML524319 AWH524319 BGD524319 BPZ524319 BZV524319 CJR524319 CTN524319 DDJ524319 DNF524319 DXB524319 EGX524319 EQT524319 FAP524319 FKL524319 FUH524319 GED524319 GNZ524319 GXV524319 HHR524319 HRN524319 IBJ524319 ILF524319 IVB524319 JEX524319 JOT524319 JYP524319 KIL524319 KSH524319 LCD524319 LLZ524319 LVV524319 MFR524319 MPN524319 MZJ524319 NJF524319 NTB524319 OCX524319 OMT524319 OWP524319 PGL524319 PQH524319 QAD524319 QJZ524319 QTV524319 RDR524319 RNN524319 RXJ524319 SHF524319 SRB524319 TAX524319 TKT524319 TUP524319 UEL524319 UOH524319 UYD524319 VHZ524319 VRV524319 WBR524319 WLN524319 WVJ524319 B589855 IX589855 ST589855 ACP589855 AML589855 AWH589855 BGD589855 BPZ589855 BZV589855 CJR589855 CTN589855 DDJ589855 DNF589855 DXB589855 EGX589855 EQT589855 FAP589855 FKL589855 FUH589855 GED589855 GNZ589855 GXV589855 HHR589855 HRN589855 IBJ589855 ILF589855 IVB589855 JEX589855 JOT589855 JYP589855 KIL589855 KSH589855 LCD589855 LLZ589855 LVV589855 MFR589855 MPN589855 MZJ589855 NJF589855 NTB589855 OCX589855 OMT589855 OWP589855 PGL589855 PQH589855 QAD589855 QJZ589855 QTV589855 RDR589855 RNN589855 RXJ589855 SHF589855 SRB589855 TAX589855 TKT589855 TUP589855 UEL589855 UOH589855 UYD589855 VHZ589855 VRV589855 WBR589855 WLN589855 WVJ589855 B655391 IX655391 ST655391 ACP655391 AML655391 AWH655391 BGD655391 BPZ655391 BZV655391 CJR655391 CTN655391 DDJ655391 DNF655391 DXB655391 EGX655391 EQT655391 FAP655391 FKL655391 FUH655391 GED655391 GNZ655391 GXV655391 HHR655391 HRN655391 IBJ655391 ILF655391 IVB655391 JEX655391 JOT655391 JYP655391 KIL655391 KSH655391 LCD655391 LLZ655391 LVV655391 MFR655391 MPN655391 MZJ655391 NJF655391 NTB655391 OCX655391 OMT655391 OWP655391 PGL655391 PQH655391 QAD655391 QJZ655391 QTV655391 RDR655391 RNN655391 RXJ655391 SHF655391 SRB655391 TAX655391 TKT655391 TUP655391 UEL655391 UOH655391 UYD655391 VHZ655391 VRV655391 WBR655391 WLN655391 WVJ655391 B720927 IX720927 ST720927 ACP720927 AML720927 AWH720927 BGD720927 BPZ720927 BZV720927 CJR720927 CTN720927 DDJ720927 DNF720927 DXB720927 EGX720927 EQT720927 FAP720927 FKL720927 FUH720927 GED720927 GNZ720927 GXV720927 HHR720927 HRN720927 IBJ720927 ILF720927 IVB720927 JEX720927 JOT720927 JYP720927 KIL720927 KSH720927 LCD720927 LLZ720927 LVV720927 MFR720927 MPN720927 MZJ720927 NJF720927 NTB720927 OCX720927 OMT720927 OWP720927 PGL720927 PQH720927 QAD720927 QJZ720927 QTV720927 RDR720927 RNN720927 RXJ720927 SHF720927 SRB720927 TAX720927 TKT720927 TUP720927 UEL720927 UOH720927 UYD720927 VHZ720927 VRV720927 WBR720927 WLN720927 WVJ720927 B786463 IX786463 ST786463 ACP786463 AML786463 AWH786463 BGD786463 BPZ786463 BZV786463 CJR786463 CTN786463 DDJ786463 DNF786463 DXB786463 EGX786463 EQT786463 FAP786463 FKL786463 FUH786463 GED786463 GNZ786463 GXV786463 HHR786463 HRN786463 IBJ786463 ILF786463 IVB786463 JEX786463 JOT786463 JYP786463 KIL786463 KSH786463 LCD786463 LLZ786463 LVV786463 MFR786463 MPN786463 MZJ786463 NJF786463 NTB786463 OCX786463 OMT786463 OWP786463 PGL786463 PQH786463 QAD786463 QJZ786463 QTV786463 RDR786463 RNN786463 RXJ786463 SHF786463 SRB786463 TAX786463 TKT786463 TUP786463 UEL786463 UOH786463 UYD786463 VHZ786463 VRV786463 WBR786463 WLN786463 WVJ786463 B851999 IX851999 ST851999 ACP851999 AML851999 AWH851999 BGD851999 BPZ851999 BZV851999 CJR851999 CTN851999 DDJ851999 DNF851999 DXB851999 EGX851999 EQT851999 FAP851999 FKL851999 FUH851999 GED851999 GNZ851999 GXV851999 HHR851999 HRN851999 IBJ851999 ILF851999 IVB851999 JEX851999 JOT851999 JYP851999 KIL851999 KSH851999 LCD851999 LLZ851999 LVV851999 MFR851999 MPN851999 MZJ851999 NJF851999 NTB851999 OCX851999 OMT851999 OWP851999 PGL851999 PQH851999 QAD851999 QJZ851999 QTV851999 RDR851999 RNN851999 RXJ851999 SHF851999 SRB851999 TAX851999 TKT851999 TUP851999 UEL851999 UOH851999 UYD851999 VHZ851999 VRV851999 WBR851999 WLN851999 WVJ851999 B917535 IX917535 ST917535 ACP917535 AML917535 AWH917535 BGD917535 BPZ917535 BZV917535 CJR917535 CTN917535 DDJ917535 DNF917535 DXB917535 EGX917535 EQT917535 FAP917535 FKL917535 FUH917535 GED917535 GNZ917535 GXV917535 HHR917535 HRN917535 IBJ917535 ILF917535 IVB917535 JEX917535 JOT917535 JYP917535 KIL917535 KSH917535 LCD917535 LLZ917535 LVV917535 MFR917535 MPN917535 MZJ917535 NJF917535 NTB917535 OCX917535 OMT917535 OWP917535 PGL917535 PQH917535 QAD917535 QJZ917535 QTV917535 RDR917535 RNN917535 RXJ917535 SHF917535 SRB917535 TAX917535 TKT917535 TUP917535 UEL917535 UOH917535 UYD917535 VHZ917535 VRV917535 WBR917535 WLN917535 WVJ917535 B983071 IX983071 ST983071 ACP983071 AML983071 AWH983071 BGD983071 BPZ983071 BZV983071 CJR983071 CTN983071 DDJ983071 DNF983071 DXB983071 EGX983071 EQT983071 FAP983071 FKL983071 FUH983071 GED983071 GNZ983071 GXV983071 HHR983071 HRN983071 IBJ983071 ILF983071 IVB983071 JEX983071 JOT983071 JYP983071 KIL983071 KSH983071 LCD983071 LLZ983071 LVV983071 MFR983071 MPN983071 MZJ983071 NJF983071 NTB983071 OCX983071 OMT983071 OWP983071 PGL983071 PQH983071 QAD983071 QJZ983071 QTV983071 RDR983071 RNN983071 RXJ983071 SHF983071 SRB983071 TAX983071 TKT983071 TUP983071 UEL983071 UOH983071 UYD983071 VHZ983071 VRV983071 WBR983071 WLN983071 WVJ983071" xr:uid="{00000000-0002-0000-0000-00000F000000}">
      <formula1>0.01</formula1>
      <formula2>0.4</formula2>
    </dataValidation>
  </dataValidation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D6E1E142CB4E940A9FD53E5CD51C34A" ma:contentTypeVersion="19" ma:contentTypeDescription="Crear nuevo documento." ma:contentTypeScope="" ma:versionID="45e1e22eba957cc4e59987d2e7809bd6">
  <xsd:schema xmlns:xsd="http://www.w3.org/2001/XMLSchema" xmlns:xs="http://www.w3.org/2001/XMLSchema" xmlns:p="http://schemas.microsoft.com/office/2006/metadata/properties" xmlns:ns2="9d5afce6-c059-4129-aa3f-769b11faa73e" xmlns:ns3="701602ca-b548-479b-8400-7aeea5df8fc7" targetNamespace="http://schemas.microsoft.com/office/2006/metadata/properties" ma:root="true" ma:fieldsID="c8e939041e7fe3f5feb0a41386862b2a" ns2:_="" ns3:_="">
    <xsd:import namespace="9d5afce6-c059-4129-aa3f-769b11faa73e"/>
    <xsd:import namespace="701602ca-b548-479b-8400-7aeea5df8fc7"/>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lcf76f155ced4ddcb4097134ff3c332f" minOccurs="0"/>
                <xsd:element ref="ns3:TaxCatchAll" minOccurs="0"/>
                <xsd:element ref="ns2:MediaServiceAutoKeyPoints" minOccurs="0"/>
                <xsd:element ref="ns2:MediaServiceKeyPoints" minOccurs="0"/>
                <xsd:element ref="ns2:UR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5afce6-c059-4129-aa3f-769b11faa73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Location" ma:index="16" nillable="true" ma:displayName="Location" ma:internalName="MediaServiceLocation" ma:readOnly="true">
      <xsd:simpleType>
        <xsd:restriction base="dms:Text"/>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2ff699ad-d8e1-49f5-8054-94ba44cf4f34" ma:termSetId="09814cd3-568e-fe90-9814-8d621ff8fb84" ma:anchorId="fba54fb3-c3e1-fe81-a776-ca4b69148c4d" ma:open="true" ma:isKeyword="false">
      <xsd:complexType>
        <xsd:sequence>
          <xsd:element ref="pc:Terms" minOccurs="0" maxOccurs="1"/>
        </xsd:sequence>
      </xsd:complexType>
    </xsd:element>
    <xsd:element name="MediaServiceAutoKeyPoints" ma:index="22" nillable="true" ma:displayName="MediaServiceAutoKeyPoints" ma:hidden="true" ma:internalName="MediaServiceAutoKeyPoints" ma:readOnly="true">
      <xsd:simpleType>
        <xsd:restriction base="dms:Note"/>
      </xsd:simpleType>
    </xsd:element>
    <xsd:element name="MediaServiceKeyPoints" ma:index="23" nillable="true" ma:displayName="KeyPoints" ma:internalName="MediaServiceKeyPoints" ma:readOnly="true">
      <xsd:simpleType>
        <xsd:restriction base="dms:Note">
          <xsd:maxLength value="255"/>
        </xsd:restriction>
      </xsd:simpleType>
    </xsd:element>
    <xsd:element name="URL" ma:index="24" nillable="true" ma:displayName="URL" ma:format="Hyperlink" ma:internalName="URL">
      <xsd:complexType>
        <xsd:complexContent>
          <xsd:extension base="dms:URL">
            <xsd:sequence>
              <xsd:element name="Url" type="dms:ValidUrl" minOccurs="0" nillable="true"/>
              <xsd:element name="Description" type="xsd:string" nillable="true"/>
            </xsd:sequence>
          </xsd:extension>
        </xsd:complexContent>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01602ca-b548-479b-8400-7aeea5df8fc7" elementFormDefault="qualified">
    <xsd:import namespace="http://schemas.microsoft.com/office/2006/documentManagement/types"/>
    <xsd:import namespace="http://schemas.microsoft.com/office/infopath/2007/PartnerControls"/>
    <xsd:element name="SharedWithUsers" ma:index="17"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Detalles de uso compartido" ma:internalName="SharedWithDetails" ma:readOnly="true">
      <xsd:simpleType>
        <xsd:restriction base="dms:Note">
          <xsd:maxLength value="255"/>
        </xsd:restriction>
      </xsd:simpleType>
    </xsd:element>
    <xsd:element name="TaxCatchAll" ma:index="21" nillable="true" ma:displayName="Taxonomy Catch All Column" ma:hidden="true" ma:list="{53954229-4e1e-4bb0-b298-9cc9c595a7f8}" ma:internalName="TaxCatchAll" ma:showField="CatchAllData" ma:web="701602ca-b548-479b-8400-7aeea5df8f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d5afce6-c059-4129-aa3f-769b11faa73e">
      <Terms xmlns="http://schemas.microsoft.com/office/infopath/2007/PartnerControls"/>
    </lcf76f155ced4ddcb4097134ff3c332f>
    <TaxCatchAll xmlns="701602ca-b548-479b-8400-7aeea5df8fc7" xsi:nil="true"/>
    <URL xmlns="9d5afce6-c059-4129-aa3f-769b11faa73e">
      <Url xsi:nil="true"/>
      <Description xsi:nil="true"/>
    </URL>
  </documentManagement>
</p:properties>
</file>

<file path=customXml/itemProps1.xml><?xml version="1.0" encoding="utf-8"?>
<ds:datastoreItem xmlns:ds="http://schemas.openxmlformats.org/officeDocument/2006/customXml" ds:itemID="{5AC04B2A-B0DE-4CB1-A6E6-1E6756302E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d5afce6-c059-4129-aa3f-769b11faa73e"/>
    <ds:schemaRef ds:uri="701602ca-b548-479b-8400-7aeea5df8f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23B6FF8E-9A18-4ADA-ACAE-2F53FAFCCCF4}">
  <ds:schemaRefs>
    <ds:schemaRef ds:uri="http://schemas.microsoft.com/sharepoint/v3/contenttype/forms"/>
  </ds:schemaRefs>
</ds:datastoreItem>
</file>

<file path=customXml/itemProps3.xml><?xml version="1.0" encoding="utf-8"?>
<ds:datastoreItem xmlns:ds="http://schemas.openxmlformats.org/officeDocument/2006/customXml" ds:itemID="{1126F221-6019-48B3-92B3-6B0DD17A358E}">
  <ds:schemaRefs>
    <ds:schemaRef ds:uri="http://schemas.microsoft.com/office/2006/metadata/properties"/>
    <ds:schemaRef ds:uri="http://schemas.microsoft.com/office/infopath/2007/PartnerControls"/>
    <ds:schemaRef ds:uri="05802927-e5d3-4f68-b882-044b1c4ad32d"/>
    <ds:schemaRef ds:uri="ea0f6264-626f-41a4-b9d9-918b3ea3262b"/>
    <ds:schemaRef ds:uri="9d5afce6-c059-4129-aa3f-769b11faa73e"/>
    <ds:schemaRef ds:uri="701602ca-b548-479b-8400-7aeea5df8fc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FORMATO</vt:lpstr>
    </vt:vector>
  </TitlesOfParts>
  <Company>Allianz</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Galvis Walteros</dc:creator>
  <cp:lastModifiedBy>Erika Gómez Tangarife</cp:lastModifiedBy>
  <dcterms:created xsi:type="dcterms:W3CDTF">2018-08-10T16:43:51Z</dcterms:created>
  <dcterms:modified xsi:type="dcterms:W3CDTF">2026-04-10T12:45:05Z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adata">
    <vt:lpwstr>b7988hualzfd</vt:lpwstr>
  </property>
  <property fmtid="{D5CDD505-2E9C-101B-9397-08002B2CF9AE}" pid="3" name="OfficeDocumentSecurity_10082018114407">
    <vt:lpwstr>10082018114407;CE00352;0</vt:lpwstr>
  </property>
  <property fmtid="{D5CDD505-2E9C-101B-9397-08002B2CF9AE}" pid="4" name="OfficeDocumentSecurity_10082018114600">
    <vt:lpwstr>10082018114600;CE00352;0</vt:lpwstr>
  </property>
  <property fmtid="{D5CDD505-2E9C-101B-9397-08002B2CF9AE}" pid="5" name="OfficeDocumentSecurity_16082018080144">
    <vt:lpwstr>16082018080144;CE00352;0</vt:lpwstr>
  </property>
  <property fmtid="{D5CDD505-2E9C-101B-9397-08002B2CF9AE}" pid="6" name="OfficeDocumentSecurity_26122018192052">
    <vt:lpwstr>26122018192052;CE01578;0</vt:lpwstr>
  </property>
  <property fmtid="{D5CDD505-2E9C-101B-9397-08002B2CF9AE}" pid="7" name="OfficeDocumentSecurity_21032019171826">
    <vt:lpwstr>21032019171826;CE01578;0</vt:lpwstr>
  </property>
  <property fmtid="{D5CDD505-2E9C-101B-9397-08002B2CF9AE}" pid="8" name="OfficeDocumentSecurity_07062022095459">
    <vt:lpwstr>07062022095459;CE01578;0</vt:lpwstr>
  </property>
  <property fmtid="{D5CDD505-2E9C-101B-9397-08002B2CF9AE}" pid="9" name="MSIP_Label_ce5f591a-3248-43e9-9b70-1ad50135772d_Enabled">
    <vt:lpwstr>true</vt:lpwstr>
  </property>
  <property fmtid="{D5CDD505-2E9C-101B-9397-08002B2CF9AE}" pid="10" name="MSIP_Label_ce5f591a-3248-43e9-9b70-1ad50135772d_SetDate">
    <vt:lpwstr>2023-03-01T18:10:53Z</vt:lpwstr>
  </property>
  <property fmtid="{D5CDD505-2E9C-101B-9397-08002B2CF9AE}" pid="11" name="MSIP_Label_ce5f591a-3248-43e9-9b70-1ad50135772d_Method">
    <vt:lpwstr>Privileged</vt:lpwstr>
  </property>
  <property fmtid="{D5CDD505-2E9C-101B-9397-08002B2CF9AE}" pid="12" name="MSIP_Label_ce5f591a-3248-43e9-9b70-1ad50135772d_Name">
    <vt:lpwstr>ce5f591a-3248-43e9-9b70-1ad50135772d</vt:lpwstr>
  </property>
  <property fmtid="{D5CDD505-2E9C-101B-9397-08002B2CF9AE}" pid="13" name="MSIP_Label_ce5f591a-3248-43e9-9b70-1ad50135772d_SiteId">
    <vt:lpwstr>6e06e42d-6925-47c6-b9e7-9581c7ca302a</vt:lpwstr>
  </property>
  <property fmtid="{D5CDD505-2E9C-101B-9397-08002B2CF9AE}" pid="14" name="MSIP_Label_ce5f591a-3248-43e9-9b70-1ad50135772d_ActionId">
    <vt:lpwstr>ccec1e15-fe60-45ea-98fe-23770147612d</vt:lpwstr>
  </property>
  <property fmtid="{D5CDD505-2E9C-101B-9397-08002B2CF9AE}" pid="15" name="MSIP_Label_ce5f591a-3248-43e9-9b70-1ad50135772d_ContentBits">
    <vt:lpwstr>0</vt:lpwstr>
  </property>
  <property fmtid="{D5CDD505-2E9C-101B-9397-08002B2CF9AE}" pid="16" name="OfficeDocumentSecurity_01032023131101">
    <vt:lpwstr>01032023131101;CE01578;0</vt:lpwstr>
  </property>
  <property fmtid="{D5CDD505-2E9C-101B-9397-08002B2CF9AE}" pid="17" name="ContentTypeId">
    <vt:lpwstr>0x0101004D6E1E142CB4E940A9FD53E5CD51C34A</vt:lpwstr>
  </property>
  <property fmtid="{D5CDD505-2E9C-101B-9397-08002B2CF9AE}" pid="18" name="MediaServiceImageTags">
    <vt:lpwstr/>
  </property>
</Properties>
</file>